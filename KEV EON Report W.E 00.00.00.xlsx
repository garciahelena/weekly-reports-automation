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en\Desktop\Reports\"/>
    </mc:Choice>
  </mc:AlternateContent>
  <xr:revisionPtr revIDLastSave="0" documentId="13_ncr:1_{FCCA2340-7191-414A-B66F-409EA061A7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ON" sheetId="1" r:id="rId1"/>
    <sheet name="REFUND TRACKER" sheetId="2" r:id="rId2"/>
  </sheets>
  <externalReferences>
    <externalReference r:id="rId3"/>
  </externalReferences>
  <definedNames>
    <definedName name="auto_accept_rate_weeklydata">'[1]RX WEEKLY DATA'!$CG:$CG</definedName>
    <definedName name="avg_prep_time_weeklydata">'[1]RX WEEKLY DATA'!$BL:$BL</definedName>
    <definedName name="avg_rider_wait_past_target_weeklydata">'[1]RX WEEKLY DATA'!$CN:$CN</definedName>
    <definedName name="busy_mode_rate_weeklydata">'[1]RX WEEKLY DATA'!$CU:$CU</definedName>
    <definedName name="cnt_orders_delivered_weeklydata">'[1]RX WEEKLY DATA'!$V:$V</definedName>
    <definedName name="distinct_menu_items_menuitems">'[1]MENU ITEMS'!$L:$L</definedName>
    <definedName name="gmv_prior_week_pct_change_weeklydata">'[1]RX WEEKLY DATA'!$I:$I</definedName>
    <definedName name="gmv_rejected_local_rejections">[1]REJECTIONS!$N:$N</definedName>
    <definedName name="gmv_yoy_pct_change_weeklydata">'[1]RX WEEKLY DATA'!$K:$K</definedName>
    <definedName name="open_rate_weeklydata">'[1]RX WEEKLY DATA'!$AX:$AX</definedName>
    <definedName name="order_rating_less_than_3_pct_weeklydata">'[1]RX WEEKLY DATA'!$AQ:$AQ</definedName>
    <definedName name="orders_prior_week_pct_change_weeklydata">'[1]RX WEEKLY DATA'!$W:$W</definedName>
    <definedName name="orders_yoy_pct_change_weeklydata">'[1]RX WEEKLY DATA'!$Y:$Y</definedName>
    <definedName name="prior_4_wk_avg_gmv_pct_change_weeklydata">'[1]RX WEEKLY DATA'!$J:$J</definedName>
    <definedName name="prior_4_wk_avg_orders_pct_change_weeklydata">'[1]RX WEEKLY DATA'!$X:$X</definedName>
    <definedName name="rejected_order_rejections">[1]REJECTIONS!$I:$I</definedName>
    <definedName name="restaurant_name_menuitems">'[1]MENU ITEMS'!$A:$A</definedName>
    <definedName name="restaurant_name_rejections">[1]REJECTIONS!$A:$A</definedName>
    <definedName name="restaurant_name_weeklydata">'[1]RX WEEKLY DATA'!$B:$B</definedName>
    <definedName name="times_marked_unavailable_menuitems">'[1]MENU ITEMS'!$J:$J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2" l="1"/>
  <c r="K8" i="2"/>
  <c r="J24" i="1"/>
  <c r="J23" i="1"/>
  <c r="J22" i="1"/>
  <c r="J21" i="1"/>
  <c r="J20" i="1"/>
  <c r="J19" i="1"/>
  <c r="J18" i="1"/>
  <c r="J17" i="1"/>
  <c r="J16" i="1"/>
  <c r="J15" i="1"/>
  <c r="I13" i="1"/>
  <c r="H13" i="1"/>
  <c r="G13" i="1"/>
  <c r="F13" i="1"/>
  <c r="E13" i="1"/>
  <c r="D13" i="1"/>
  <c r="C13" i="1"/>
  <c r="J12" i="1"/>
  <c r="J13" i="1" s="1"/>
  <c r="J11" i="1"/>
  <c r="I7" i="1"/>
  <c r="H7" i="1"/>
  <c r="G7" i="1"/>
  <c r="F7" i="1"/>
  <c r="E7" i="1"/>
  <c r="D7" i="1"/>
  <c r="C7" i="1"/>
  <c r="J6" i="1"/>
  <c r="J7" i="1" s="1"/>
  <c r="J5" i="1"/>
  <c r="J4" i="1"/>
  <c r="J3" i="1"/>
</calcChain>
</file>

<file path=xl/sharedStrings.xml><?xml version="1.0" encoding="utf-8"?>
<sst xmlns="http://schemas.openxmlformats.org/spreadsheetml/2006/main" count="78" uniqueCount="59">
  <si>
    <t>Boojum KEVIN ST</t>
  </si>
  <si>
    <t>Monday</t>
  </si>
  <si>
    <t>Tuesday</t>
  </si>
  <si>
    <t>Wednesday</t>
  </si>
  <si>
    <t>Thursday</t>
  </si>
  <si>
    <t>Friday</t>
  </si>
  <si>
    <t>Saturday</t>
  </si>
  <si>
    <t xml:space="preserve">Sunday </t>
  </si>
  <si>
    <t>Total</t>
  </si>
  <si>
    <t>FORECAST SALES</t>
  </si>
  <si>
    <t>LAST YEARS SALES</t>
  </si>
  <si>
    <t xml:space="preserve">LAST WEEK SALES </t>
  </si>
  <si>
    <t>ACTUAL SALES</t>
  </si>
  <si>
    <t xml:space="preserve">VARIANCE VS FORECAST </t>
  </si>
  <si>
    <t xml:space="preserve">AM FEEDBACK </t>
  </si>
  <si>
    <t xml:space="preserve">PM FEEDBACK </t>
  </si>
  <si>
    <t xml:space="preserve">EVENTS </t>
  </si>
  <si>
    <t>FORECAST LABOUR €</t>
  </si>
  <si>
    <t>ACTUAL LABOUR €</t>
  </si>
  <si>
    <t xml:space="preserve">REASON FOR VARIANCE </t>
  </si>
  <si>
    <t>N/A</t>
  </si>
  <si>
    <t>Corporate Orders</t>
  </si>
  <si>
    <t xml:space="preserve">LOSS OF SALES </t>
  </si>
  <si>
    <t xml:space="preserve">N/A </t>
  </si>
  <si>
    <t>DELIVEROO</t>
  </si>
  <si>
    <t xml:space="preserve">JUST EAT </t>
  </si>
  <si>
    <t>UBER EATS</t>
  </si>
  <si>
    <t>LTO Chilli</t>
  </si>
  <si>
    <t>LOT Pibil</t>
  </si>
  <si>
    <t>NIX &amp; KIX</t>
  </si>
  <si>
    <t>B1&amp;B1</t>
  </si>
  <si>
    <t>CnC</t>
  </si>
  <si>
    <t>DELIVEROO BUSY MODE?</t>
  </si>
  <si>
    <t>No</t>
  </si>
  <si>
    <t>DELIVEROO BUSY MODE EXPLINATION</t>
  </si>
  <si>
    <t>N/a</t>
  </si>
  <si>
    <t xml:space="preserve">WEEK </t>
  </si>
  <si>
    <t>DELIVERY PLATFORM ACTION PLAN -  KEVIN ST     W.E 00/00/26</t>
  </si>
  <si>
    <t>Ops Excel LW (80%)</t>
  </si>
  <si>
    <t>MONDAY</t>
  </si>
  <si>
    <t>TUESDAY</t>
  </si>
  <si>
    <t>WEDNESDAY</t>
  </si>
  <si>
    <t>THURSDAY</t>
  </si>
  <si>
    <t>FRIDAY</t>
  </si>
  <si>
    <t>SATURDAY</t>
  </si>
  <si>
    <t>SUNDAY</t>
  </si>
  <si>
    <t>MISSING ITEMS LW (2%)</t>
  </si>
  <si>
    <t>LUNCH (32%)
Team Member(s) Assigned 
to delivery station</t>
  </si>
  <si>
    <t>INTER-PEAK (20%)
Team Member(s) Assigned 
to delivery station</t>
  </si>
  <si>
    <t>DINNER (47%)
Team Member(s) Assigned 
to delivery station</t>
  </si>
  <si>
    <t>TOTAL REFUND REQUESTS</t>
  </si>
  <si>
    <t>PLATFORM (Deliveroo / JustEea / Uber)</t>
  </si>
  <si>
    <t>TOTAL REFUND AMOUNT (€)</t>
  </si>
  <si>
    <t>REASONS FOR REFUND(S)</t>
  </si>
  <si>
    <t xml:space="preserve">CCTV CHECKED </t>
  </si>
  <si>
    <t>OUTCOME / ACTIONS:</t>
  </si>
  <si>
    <t>ANY ISSUES WITH DRIVERS/DELIVERIES TODAY
Please detail time, order number &amp; driver details</t>
  </si>
  <si>
    <t>NOTES</t>
  </si>
  <si>
    <t>WE 00.00.00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</si>
</sst>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83C]#,##0.00;[Red]\-[$€-83C]#,##0.00"/>
    <numFmt numFmtId="165" formatCode="&quot;€&quot;#,##0.00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b/>
      <sz val="18"/>
      <name val="Calibri"/>
      <family val="2"/>
      <scheme val="minor"/>
    </font>
    <font>
      <b/>
      <sz val="14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1">
    <xf numFmtId="0" fontId="0" fillId="0" borderId="0" xfId="0"/>
    <xf numFmtId="0" fontId="2" fillId="2" borderId="1" xfId="1" applyFont="1" applyFill="1" applyBorder="1" applyAlignment="1">
      <alignment vertical="center"/>
    </xf>
    <xf numFmtId="0" fontId="3" fillId="0" borderId="3" xfId="1" applyFont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64" fontId="2" fillId="6" borderId="3" xfId="1" applyNumberFormat="1" applyFont="1" applyFill="1" applyBorder="1" applyAlignment="1">
      <alignment horizontal="center" vertical="center"/>
    </xf>
    <xf numFmtId="164" fontId="2" fillId="6" borderId="4" xfId="1" applyNumberFormat="1" applyFont="1" applyFill="1" applyBorder="1" applyAlignment="1">
      <alignment horizontal="center" vertical="center"/>
    </xf>
    <xf numFmtId="164" fontId="2" fillId="6" borderId="2" xfId="1" applyNumberFormat="1" applyFont="1" applyFill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0" fontId="2" fillId="8" borderId="3" xfId="1" applyFont="1" applyFill="1" applyBorder="1" applyAlignment="1">
      <alignment horizontal="center" vertical="center"/>
    </xf>
    <xf numFmtId="0" fontId="2" fillId="8" borderId="4" xfId="1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2" fillId="9" borderId="2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 wrapText="1"/>
    </xf>
    <xf numFmtId="164" fontId="2" fillId="8" borderId="3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165" fontId="2" fillId="6" borderId="2" xfId="1" applyNumberFormat="1" applyFont="1" applyFill="1" applyBorder="1" applyAlignment="1">
      <alignment horizontal="center" vertical="center"/>
    </xf>
    <xf numFmtId="0" fontId="2" fillId="10" borderId="2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 vertical="center"/>
    </xf>
    <xf numFmtId="165" fontId="2" fillId="6" borderId="3" xfId="1" applyNumberFormat="1" applyFont="1" applyFill="1" applyBorder="1" applyAlignment="1">
      <alignment horizontal="center" vertical="center"/>
    </xf>
    <xf numFmtId="165" fontId="2" fillId="6" borderId="4" xfId="1" applyNumberFormat="1" applyFont="1" applyFill="1" applyBorder="1" applyAlignment="1">
      <alignment horizontal="center" vertical="center"/>
    </xf>
    <xf numFmtId="164" fontId="2" fillId="10" borderId="2" xfId="1" applyNumberFormat="1" applyFont="1" applyFill="1" applyBorder="1" applyAlignment="1">
      <alignment horizontal="center" vertical="center"/>
    </xf>
    <xf numFmtId="0" fontId="2" fillId="0" borderId="0" xfId="2"/>
    <xf numFmtId="165" fontId="2" fillId="0" borderId="0" xfId="2" applyNumberFormat="1" applyAlignment="1">
      <alignment horizontal="center" vertical="center"/>
    </xf>
    <xf numFmtId="165" fontId="7" fillId="8" borderId="1" xfId="2" applyNumberFormat="1" applyFont="1" applyFill="1" applyBorder="1" applyAlignment="1">
      <alignment horizontal="center" vertical="center" wrapText="1"/>
    </xf>
    <xf numFmtId="0" fontId="2" fillId="0" borderId="0" xfId="2" applyAlignment="1">
      <alignment horizontal="center" vertical="center"/>
    </xf>
    <xf numFmtId="18" fontId="2" fillId="13" borderId="1" xfId="2" applyNumberFormat="1" applyFill="1" applyBorder="1" applyAlignment="1">
      <alignment horizontal="center" vertical="center" wrapText="1"/>
    </xf>
    <xf numFmtId="0" fontId="2" fillId="13" borderId="1" xfId="2" applyFill="1" applyBorder="1" applyAlignment="1">
      <alignment horizontal="center" vertical="center" wrapText="1"/>
    </xf>
    <xf numFmtId="14" fontId="10" fillId="14" borderId="9" xfId="2" applyNumberFormat="1" applyFont="1" applyFill="1" applyBorder="1" applyAlignment="1">
      <alignment horizontal="center" vertical="center"/>
    </xf>
    <xf numFmtId="10" fontId="6" fillId="15" borderId="10" xfId="2" applyNumberFormat="1" applyFont="1" applyFill="1" applyBorder="1" applyAlignment="1">
      <alignment horizontal="center" vertical="center"/>
    </xf>
    <xf numFmtId="0" fontId="11" fillId="16" borderId="11" xfId="2" applyFont="1" applyFill="1" applyBorder="1" applyAlignment="1">
      <alignment horizontal="right" vertical="center"/>
    </xf>
    <xf numFmtId="0" fontId="10" fillId="14" borderId="12" xfId="2" applyFont="1" applyFill="1" applyBorder="1" applyAlignment="1">
      <alignment horizontal="center" vertical="center"/>
    </xf>
    <xf numFmtId="0" fontId="10" fillId="14" borderId="13" xfId="2" applyFont="1" applyFill="1" applyBorder="1" applyAlignment="1">
      <alignment horizontal="center" vertical="center"/>
    </xf>
    <xf numFmtId="0" fontId="10" fillId="14" borderId="14" xfId="2" applyFont="1" applyFill="1" applyBorder="1" applyAlignment="1">
      <alignment horizontal="center" vertical="center"/>
    </xf>
    <xf numFmtId="9" fontId="6" fillId="15" borderId="15" xfId="2" applyNumberFormat="1" applyFont="1" applyFill="1" applyBorder="1" applyAlignment="1">
      <alignment horizontal="center" vertical="center"/>
    </xf>
    <xf numFmtId="0" fontId="6" fillId="16" borderId="16" xfId="2" applyFont="1" applyFill="1" applyBorder="1" applyAlignment="1">
      <alignment horizontal="right" vertical="center"/>
    </xf>
    <xf numFmtId="0" fontId="9" fillId="11" borderId="1" xfId="2" applyFont="1" applyFill="1" applyBorder="1" applyAlignment="1">
      <alignment horizontal="center" vertical="center" wrapText="1"/>
    </xf>
    <xf numFmtId="0" fontId="2" fillId="11" borderId="1" xfId="2" applyFill="1" applyBorder="1" applyAlignment="1">
      <alignment horizontal="center" vertical="center" wrapText="1"/>
    </xf>
    <xf numFmtId="0" fontId="8" fillId="11" borderId="1" xfId="2" applyFont="1" applyFill="1" applyBorder="1" applyAlignment="1">
      <alignment horizontal="center" vertical="center" wrapText="1"/>
    </xf>
    <xf numFmtId="15" fontId="2" fillId="11" borderId="1" xfId="2" applyNumberFormat="1" applyFill="1" applyBorder="1" applyAlignment="1">
      <alignment horizontal="center" vertical="center" wrapText="1"/>
    </xf>
    <xf numFmtId="0" fontId="6" fillId="11" borderId="1" xfId="2" applyFont="1" applyFill="1" applyBorder="1" applyAlignment="1">
      <alignment horizontal="center" vertical="center" wrapText="1"/>
    </xf>
    <xf numFmtId="165" fontId="2" fillId="8" borderId="0" xfId="1" applyNumberFormat="1" applyFont="1" applyFill="1" applyAlignment="1">
      <alignment horizontal="center" vertical="center"/>
    </xf>
    <xf numFmtId="0" fontId="2" fillId="4" borderId="17" xfId="1" applyFont="1" applyFill="1" applyBorder="1" applyAlignment="1">
      <alignment horizontal="center" vertical="center" wrapText="1"/>
    </xf>
    <xf numFmtId="165" fontId="2" fillId="8" borderId="18" xfId="1" applyNumberFormat="1" applyFont="1" applyFill="1" applyBorder="1" applyAlignment="1">
      <alignment horizontal="center" vertical="center"/>
    </xf>
    <xf numFmtId="165" fontId="2" fillId="6" borderId="17" xfId="1" applyNumberFormat="1" applyFont="1" applyFill="1" applyBorder="1" applyAlignment="1">
      <alignment horizontal="center" vertical="center"/>
    </xf>
    <xf numFmtId="165" fontId="2" fillId="8" borderId="1" xfId="1" applyNumberFormat="1" applyFont="1" applyFill="1" applyBorder="1" applyAlignment="1">
      <alignment horizontal="center" vertical="center"/>
    </xf>
    <xf numFmtId="165" fontId="2" fillId="10" borderId="1" xfId="1" applyNumberFormat="1" applyFont="1" applyFill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2" fontId="2" fillId="8" borderId="1" xfId="2" applyNumberForma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6" fillId="12" borderId="7" xfId="2" applyFont="1" applyFill="1" applyBorder="1" applyAlignment="1">
      <alignment horizontal="center" vertical="center"/>
    </xf>
    <xf numFmtId="0" fontId="0" fillId="0" borderId="21" xfId="0" applyBorder="1"/>
    <xf numFmtId="0" fontId="2" fillId="12" borderId="7" xfId="2" applyFill="1" applyBorder="1" applyAlignment="1">
      <alignment horizontal="center" vertical="center" wrapText="1"/>
    </xf>
    <xf numFmtId="0" fontId="13" fillId="2" borderId="7" xfId="2" applyFont="1" applyFill="1" applyBorder="1" applyAlignment="1">
      <alignment horizontal="center" vertical="center"/>
    </xf>
    <xf numFmtId="0" fontId="6" fillId="12" borderId="8" xfId="2" applyFont="1" applyFill="1" applyBorder="1" applyAlignment="1">
      <alignment horizontal="center" vertical="center" wrapText="1"/>
    </xf>
    <xf numFmtId="0" fontId="0" fillId="0" borderId="20" xfId="0" applyBorder="1"/>
    <xf numFmtId="0" fontId="6" fillId="12" borderId="7" xfId="2" applyFont="1" applyFill="1" applyBorder="1" applyAlignment="1">
      <alignment horizontal="center" vertical="center" wrapText="1"/>
    </xf>
    <xf numFmtId="0" fontId="12" fillId="4" borderId="19" xfId="2" applyFont="1" applyFill="1" applyBorder="1" applyAlignment="1">
      <alignment horizontal="center" vertical="center"/>
    </xf>
    <xf numFmtId="0" fontId="6" fillId="13" borderId="19" xfId="2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aul%20T/Desktop/Deliveroo%20WE%2020201012-IrelandBooju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A. Performance Snapshot"/>
      <sheetName val="B. Operations by Site"/>
      <sheetName val="C1. Sales Mix"/>
      <sheetName val="C2. Availability"/>
      <sheetName val="C3. Speed"/>
      <sheetName val="C4. Ratings and Comments"/>
      <sheetName val="C5. Customers"/>
      <sheetName val="Raw data &gt;&gt;&gt;"/>
      <sheetName val="RX WEEKLY DATA TOTAL"/>
      <sheetName val="RX WEEKLY DATA"/>
      <sheetName val="SHIFT DATA TOTALS"/>
      <sheetName val="SHIFT DATA"/>
      <sheetName val="MENU CATEGORY TOTALS"/>
      <sheetName val="MENU CATEGORIES"/>
      <sheetName val="MENU ITEM TOTALS"/>
      <sheetName val="MENU ITEMS"/>
      <sheetName val="REJECTIONS"/>
      <sheetName val="ORDER ISS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B1" t="str">
            <v>restaurant_name</v>
          </cell>
          <cell r="I1" t="str">
            <v>gmv_prior_week_pct_change_weeklydata</v>
          </cell>
          <cell r="J1" t="str">
            <v>prior_4_wk_avg_gmv_pct_change_weeklydata</v>
          </cell>
          <cell r="K1" t="str">
            <v>gmv_yoy_pct_change_weeklydata</v>
          </cell>
          <cell r="V1" t="str">
            <v>cnt_orders_delivered_weeklydata</v>
          </cell>
          <cell r="W1" t="str">
            <v>orders_prior_week_pct_change_weeklydata</v>
          </cell>
          <cell r="X1" t="str">
            <v>prior_4_wk_avg_orders_pct_change_weeklydata</v>
          </cell>
          <cell r="Y1" t="str">
            <v>orders_yoy_pct_change_weeklydata</v>
          </cell>
          <cell r="AQ1" t="str">
            <v>order_rating_less_than_3_pct_weeklydata</v>
          </cell>
          <cell r="AX1" t="str">
            <v>open_rate_weeklydata</v>
          </cell>
          <cell r="BL1" t="str">
            <v>avg_prep_time_weeklydata</v>
          </cell>
          <cell r="CG1" t="str">
            <v>auto_accept_rate_weeklydata</v>
          </cell>
          <cell r="CN1" t="str">
            <v>avg_rider_wait_past_target_weeklydata</v>
          </cell>
          <cell r="CU1" t="str">
            <v>busy_mode_rate_weeklydata</v>
          </cell>
        </row>
        <row r="2">
          <cell r="B2" t="str">
            <v>Ben &amp; Jerry's - Boojum George's Street</v>
          </cell>
          <cell r="I2">
            <v>0.14200398140000001</v>
          </cell>
          <cell r="J2">
            <v>-0.139177191447</v>
          </cell>
          <cell r="K2">
            <v>5.7125307100000002E-2</v>
          </cell>
          <cell r="V2">
            <v>35</v>
          </cell>
          <cell r="W2">
            <v>2.9412000000000001E-2</v>
          </cell>
          <cell r="X2">
            <v>-4.7619047619000002E-2</v>
          </cell>
          <cell r="Y2">
            <v>0</v>
          </cell>
          <cell r="AQ2">
            <v>0</v>
          </cell>
          <cell r="AX2">
            <v>0.97390476142899995</v>
          </cell>
          <cell r="BL2">
            <v>3.2615452779999998</v>
          </cell>
          <cell r="CG2">
            <v>0</v>
          </cell>
          <cell r="CN2">
            <v>0.71</v>
          </cell>
          <cell r="CU2">
            <v>0</v>
          </cell>
        </row>
        <row r="3">
          <cell r="B3" t="str">
            <v>Quesadillas by Boojum (George's St)</v>
          </cell>
          <cell r="I3">
            <v>0</v>
          </cell>
          <cell r="J3">
            <v>0</v>
          </cell>
          <cell r="V3">
            <v>0</v>
          </cell>
          <cell r="W3">
            <v>0</v>
          </cell>
          <cell r="X3">
            <v>0</v>
          </cell>
          <cell r="AX3">
            <v>0</v>
          </cell>
          <cell r="BL3">
            <v>0</v>
          </cell>
          <cell r="CG3">
            <v>0</v>
          </cell>
          <cell r="CN3">
            <v>0</v>
          </cell>
          <cell r="CU3">
            <v>0</v>
          </cell>
        </row>
        <row r="4">
          <cell r="B4" t="str">
            <v>Quesadillas by Boojum (Hanover Quay)</v>
          </cell>
          <cell r="I4">
            <v>0.99265442400000004</v>
          </cell>
          <cell r="J4">
            <v>0.42946107784400001</v>
          </cell>
          <cell r="K4">
            <v>1.5880312229</v>
          </cell>
          <cell r="V4">
            <v>21</v>
          </cell>
          <cell r="W4">
            <v>1.1000000000000001</v>
          </cell>
          <cell r="X4">
            <v>0.5</v>
          </cell>
          <cell r="Y4">
            <v>2.5</v>
          </cell>
          <cell r="AQ4">
            <v>0</v>
          </cell>
          <cell r="AX4">
            <v>1</v>
          </cell>
          <cell r="BL4">
            <v>8.2913749350000003</v>
          </cell>
          <cell r="CG4">
            <v>0.99999388210499995</v>
          </cell>
          <cell r="CN4">
            <v>1.470634904762</v>
          </cell>
          <cell r="CU4">
            <v>0</v>
          </cell>
        </row>
        <row r="5">
          <cell r="B5" t="str">
            <v>Quesadillas by Boojum (IFSC) - temp change to George st</v>
          </cell>
          <cell r="I5">
            <v>0.44579646020000002</v>
          </cell>
          <cell r="J5">
            <v>2.7249732810829999</v>
          </cell>
          <cell r="K5">
            <v>0.38014783530000001</v>
          </cell>
          <cell r="V5">
            <v>9</v>
          </cell>
          <cell r="W5">
            <v>0.5</v>
          </cell>
          <cell r="X5">
            <v>2.6</v>
          </cell>
          <cell r="Y5">
            <v>0.5</v>
          </cell>
          <cell r="AQ5">
            <v>0</v>
          </cell>
          <cell r="AX5">
            <v>1</v>
          </cell>
          <cell r="BL5">
            <v>19.292000647999998</v>
          </cell>
          <cell r="CG5">
            <v>0.57186062673500004</v>
          </cell>
          <cell r="CN5">
            <v>3.2074073333330002</v>
          </cell>
          <cell r="CU5">
            <v>0</v>
          </cell>
        </row>
        <row r="6">
          <cell r="B6" t="str">
            <v>Quesadillas by Boojum (Patrick's Street)</v>
          </cell>
          <cell r="I6">
            <v>-0.39736346519999999</v>
          </cell>
          <cell r="J6">
            <v>-0.52429619994400001</v>
          </cell>
          <cell r="K6">
            <v>0.29162462160000002</v>
          </cell>
          <cell r="V6">
            <v>7</v>
          </cell>
          <cell r="W6">
            <v>-0.41666700000000001</v>
          </cell>
          <cell r="X6">
            <v>-0.54098360655699995</v>
          </cell>
          <cell r="Y6">
            <v>0.16666700000000001</v>
          </cell>
          <cell r="AQ6">
            <v>0</v>
          </cell>
          <cell r="AX6">
            <v>0.69856498548599999</v>
          </cell>
          <cell r="BL6">
            <v>6.1818181819999998</v>
          </cell>
          <cell r="CG6">
            <v>5.1981453233999997E-2</v>
          </cell>
          <cell r="CN6">
            <v>0.42619042857099998</v>
          </cell>
          <cell r="CU6">
            <v>0</v>
          </cell>
        </row>
        <row r="7">
          <cell r="B7" t="str">
            <v>Quesadillas by Boojum (Smithfield Square)</v>
          </cell>
          <cell r="I7">
            <v>-0.15381225209999999</v>
          </cell>
          <cell r="J7">
            <v>-0.45081400615</v>
          </cell>
          <cell r="K7">
            <v>3.6677471637000001</v>
          </cell>
          <cell r="V7">
            <v>20</v>
          </cell>
          <cell r="W7">
            <v>0</v>
          </cell>
          <cell r="X7">
            <v>-0.29203539823000002</v>
          </cell>
          <cell r="Y7">
            <v>4</v>
          </cell>
          <cell r="AQ7">
            <v>0</v>
          </cell>
          <cell r="AX7">
            <v>0.99233333357099995</v>
          </cell>
          <cell r="BL7">
            <v>18.776828007999999</v>
          </cell>
          <cell r="CG7">
            <v>0.999998400595</v>
          </cell>
          <cell r="CN7">
            <v>2.1549999999999998</v>
          </cell>
          <cell r="CU7">
            <v>0.111089783552</v>
          </cell>
        </row>
        <row r="8">
          <cell r="B8" t="str">
            <v>Quesadillas by Boojum - Cork</v>
          </cell>
          <cell r="I8">
            <v>0.58626609439999999</v>
          </cell>
          <cell r="J8">
            <v>0.36806551612499999</v>
          </cell>
          <cell r="K8">
            <v>3.9962825279</v>
          </cell>
          <cell r="V8">
            <v>45</v>
          </cell>
          <cell r="W8">
            <v>0.5</v>
          </cell>
          <cell r="X8">
            <v>0.40625</v>
          </cell>
          <cell r="Y8">
            <v>3.5</v>
          </cell>
          <cell r="AQ8">
            <v>0</v>
          </cell>
          <cell r="AX8">
            <v>0.94176492834500003</v>
          </cell>
          <cell r="BL8">
            <v>14.744186046999999</v>
          </cell>
          <cell r="CG8">
            <v>0.99999759244899999</v>
          </cell>
          <cell r="CN8">
            <v>2.0729629555560001</v>
          </cell>
          <cell r="CU8">
            <v>0</v>
          </cell>
        </row>
        <row r="9">
          <cell r="B9" t="str">
            <v>Quesadillas by Boojum - The Liberties</v>
          </cell>
          <cell r="I9">
            <v>0</v>
          </cell>
          <cell r="J9">
            <v>0</v>
          </cell>
          <cell r="K9">
            <v>-1</v>
          </cell>
          <cell r="V9">
            <v>0</v>
          </cell>
          <cell r="W9">
            <v>0</v>
          </cell>
          <cell r="X9">
            <v>0</v>
          </cell>
          <cell r="Y9">
            <v>-1</v>
          </cell>
          <cell r="AX9">
            <v>0</v>
          </cell>
          <cell r="BL9">
            <v>0</v>
          </cell>
          <cell r="CG9">
            <v>0</v>
          </cell>
          <cell r="CN9">
            <v>0</v>
          </cell>
          <cell r="CU9">
            <v>0</v>
          </cell>
        </row>
        <row r="10">
          <cell r="B10" t="str">
            <v>I 💙 Churros - Cork</v>
          </cell>
          <cell r="I10">
            <v>0</v>
          </cell>
          <cell r="J10">
            <v>0</v>
          </cell>
          <cell r="K10">
            <v>-1</v>
          </cell>
          <cell r="V10">
            <v>0</v>
          </cell>
          <cell r="W10">
            <v>0</v>
          </cell>
          <cell r="X10">
            <v>0</v>
          </cell>
          <cell r="Y10">
            <v>-1</v>
          </cell>
          <cell r="AX10">
            <v>0</v>
          </cell>
          <cell r="BL10">
            <v>0</v>
          </cell>
          <cell r="CG10">
            <v>0</v>
          </cell>
          <cell r="CN10">
            <v>0</v>
          </cell>
          <cell r="CU10">
            <v>0</v>
          </cell>
        </row>
        <row r="11">
          <cell r="B11" t="str">
            <v>I 💙 Churros - IFSC</v>
          </cell>
          <cell r="I11">
            <v>0</v>
          </cell>
          <cell r="J11">
            <v>0</v>
          </cell>
          <cell r="K11">
            <v>-1</v>
          </cell>
          <cell r="V11">
            <v>0</v>
          </cell>
          <cell r="W11">
            <v>0</v>
          </cell>
          <cell r="X11">
            <v>0</v>
          </cell>
          <cell r="Y11">
            <v>-1</v>
          </cell>
          <cell r="AX11">
            <v>0</v>
          </cell>
          <cell r="BL11">
            <v>0</v>
          </cell>
          <cell r="CG11">
            <v>0</v>
          </cell>
          <cell r="CN11">
            <v>0</v>
          </cell>
          <cell r="CU11">
            <v>0</v>
          </cell>
        </row>
        <row r="12">
          <cell r="B12" t="str">
            <v>I 💙 Churros - Kevin St</v>
          </cell>
          <cell r="I12">
            <v>0.2465783185</v>
          </cell>
          <cell r="J12">
            <v>0.47440097642399998</v>
          </cell>
          <cell r="K12">
            <v>1.1490636703999999</v>
          </cell>
          <cell r="V12">
            <v>46</v>
          </cell>
          <cell r="W12">
            <v>0.121951</v>
          </cell>
          <cell r="X12">
            <v>0.29577464788699998</v>
          </cell>
          <cell r="Y12">
            <v>0.703704</v>
          </cell>
          <cell r="AQ12">
            <v>0</v>
          </cell>
          <cell r="AX12">
            <v>0.94993953129300002</v>
          </cell>
          <cell r="BL12">
            <v>10.436436147</v>
          </cell>
          <cell r="CG12">
            <v>0.99999602194500004</v>
          </cell>
          <cell r="CN12">
            <v>1.5971014130429999</v>
          </cell>
          <cell r="CU12">
            <v>7.6386291849000004E-2</v>
          </cell>
        </row>
        <row r="13">
          <cell r="B13" t="str">
            <v>I 💙 Churros - Limerick</v>
          </cell>
          <cell r="I13">
            <v>1.3019772319</v>
          </cell>
          <cell r="J13">
            <v>1.2804570411039999</v>
          </cell>
          <cell r="K13">
            <v>2.2016666667</v>
          </cell>
          <cell r="V13">
            <v>16</v>
          </cell>
          <cell r="W13">
            <v>1</v>
          </cell>
          <cell r="X13">
            <v>0.93939393939399995</v>
          </cell>
          <cell r="Y13">
            <v>1.6666669999999999</v>
          </cell>
          <cell r="AQ13">
            <v>0.66666700000000001</v>
          </cell>
          <cell r="AX13">
            <v>0.74150793634099998</v>
          </cell>
          <cell r="BL13">
            <v>6.8333333329999997</v>
          </cell>
          <cell r="CG13">
            <v>0</v>
          </cell>
          <cell r="CN13">
            <v>3.7958333125000001</v>
          </cell>
          <cell r="CU13">
            <v>0</v>
          </cell>
        </row>
        <row r="14">
          <cell r="B14" t="str">
            <v>I 💙 Churros - Smithfield</v>
          </cell>
          <cell r="I14">
            <v>-0.1662053195</v>
          </cell>
          <cell r="J14">
            <v>0.17116051052299999</v>
          </cell>
          <cell r="K14">
            <v>1.0649776452999999</v>
          </cell>
          <cell r="V14">
            <v>29</v>
          </cell>
          <cell r="W14">
            <v>-0.236842</v>
          </cell>
          <cell r="X14">
            <v>0.10476190476199999</v>
          </cell>
          <cell r="Y14">
            <v>0.8125</v>
          </cell>
          <cell r="AQ14">
            <v>0.111111</v>
          </cell>
          <cell r="AX14">
            <v>0.94470521519299999</v>
          </cell>
          <cell r="BL14">
            <v>9.9350445860000001</v>
          </cell>
          <cell r="CG14">
            <v>0.99999439986600003</v>
          </cell>
          <cell r="CN14">
            <v>1.531034551724</v>
          </cell>
          <cell r="CU14">
            <v>6.2407738575000003E-2</v>
          </cell>
        </row>
        <row r="15">
          <cell r="B15" t="str">
            <v>Boojum - Abbey St</v>
          </cell>
          <cell r="I15">
            <v>-1.6292921500000002E-2</v>
          </cell>
          <cell r="J15">
            <v>1.7855407946000001E-2</v>
          </cell>
          <cell r="K15">
            <v>1.9995394172000001</v>
          </cell>
          <cell r="V15">
            <v>710</v>
          </cell>
          <cell r="W15">
            <v>-2.7397000000000001E-2</v>
          </cell>
          <cell r="X15">
            <v>2.117148906E-3</v>
          </cell>
          <cell r="Y15">
            <v>1.709924</v>
          </cell>
          <cell r="AQ15">
            <v>6.4000000000000001E-2</v>
          </cell>
          <cell r="AX15">
            <v>1</v>
          </cell>
          <cell r="BL15">
            <v>5.3845518400000003</v>
          </cell>
          <cell r="CG15">
            <v>0.99067285403399996</v>
          </cell>
          <cell r="CN15">
            <v>1.042276995775</v>
          </cell>
          <cell r="CU15">
            <v>5.6009552760000001E-3</v>
          </cell>
        </row>
        <row r="16">
          <cell r="B16" t="str">
            <v>Boojum - Cork</v>
          </cell>
          <cell r="I16">
            <v>-8.2101435900000005E-2</v>
          </cell>
          <cell r="J16">
            <v>4.9261982029999998E-2</v>
          </cell>
          <cell r="K16">
            <v>1.3242941328</v>
          </cell>
          <cell r="V16">
            <v>1253</v>
          </cell>
          <cell r="W16">
            <v>-0.10435999999999999</v>
          </cell>
          <cell r="X16">
            <v>3.7466363071999999E-2</v>
          </cell>
          <cell r="Y16">
            <v>1.09182</v>
          </cell>
          <cell r="AQ16">
            <v>2.6200999999999999E-2</v>
          </cell>
          <cell r="AX16">
            <v>0.98186318956899998</v>
          </cell>
          <cell r="BL16">
            <v>15.444168734</v>
          </cell>
          <cell r="CG16">
            <v>0.99999692102799997</v>
          </cell>
          <cell r="CN16">
            <v>1.961691938547</v>
          </cell>
          <cell r="CU16">
            <v>0.36562214931699999</v>
          </cell>
        </row>
        <row r="17">
          <cell r="B17" t="str">
            <v>Boojum - Galway</v>
          </cell>
          <cell r="I17">
            <v>-0.2120399335</v>
          </cell>
          <cell r="J17">
            <v>-0.192009409445</v>
          </cell>
          <cell r="K17">
            <v>0.53108144970000004</v>
          </cell>
          <cell r="V17">
            <v>1029</v>
          </cell>
          <cell r="W17">
            <v>-0.22339600000000001</v>
          </cell>
          <cell r="X17">
            <v>-0.210586881473</v>
          </cell>
          <cell r="Y17">
            <v>0.30915999999999999</v>
          </cell>
          <cell r="AQ17">
            <v>0.114458</v>
          </cell>
          <cell r="AX17">
            <v>0.75761111128199998</v>
          </cell>
          <cell r="BL17">
            <v>19.735821561000002</v>
          </cell>
          <cell r="CG17">
            <v>0.99999210304499997</v>
          </cell>
          <cell r="CN17">
            <v>2.7190476054419999</v>
          </cell>
          <cell r="CU17">
            <v>0.64821385288900002</v>
          </cell>
        </row>
        <row r="18">
          <cell r="B18" t="str">
            <v>Boojum - Hanover Quay</v>
          </cell>
          <cell r="I18">
            <v>-4.7409314199999997E-2</v>
          </cell>
          <cell r="J18">
            <v>3.4186363272000003E-2</v>
          </cell>
          <cell r="K18">
            <v>1.0734296289</v>
          </cell>
          <cell r="V18">
            <v>518</v>
          </cell>
          <cell r="W18">
            <v>-5.4745000000000002E-2</v>
          </cell>
          <cell r="X18">
            <v>4.4354838709999997E-2</v>
          </cell>
          <cell r="Y18">
            <v>0.87003600000000003</v>
          </cell>
          <cell r="AQ18">
            <v>2.6549E-2</v>
          </cell>
          <cell r="AX18">
            <v>0.96625793666699999</v>
          </cell>
          <cell r="BL18">
            <v>5.5856373899999996</v>
          </cell>
          <cell r="CG18">
            <v>0.99999835743400001</v>
          </cell>
          <cell r="CN18">
            <v>1.7354890675679999</v>
          </cell>
          <cell r="CU18">
            <v>0.11852302079800001</v>
          </cell>
        </row>
        <row r="19">
          <cell r="B19" t="str">
            <v>Boojum - IFSC</v>
          </cell>
          <cell r="I19">
            <v>0</v>
          </cell>
          <cell r="J19">
            <v>0</v>
          </cell>
          <cell r="K19">
            <v>-1</v>
          </cell>
          <cell r="V19">
            <v>0</v>
          </cell>
          <cell r="W19">
            <v>0</v>
          </cell>
          <cell r="X19">
            <v>0</v>
          </cell>
          <cell r="Y19">
            <v>-1</v>
          </cell>
          <cell r="AX19">
            <v>0</v>
          </cell>
          <cell r="BL19">
            <v>0</v>
          </cell>
          <cell r="CG19">
            <v>0</v>
          </cell>
          <cell r="CN19">
            <v>0</v>
          </cell>
          <cell r="CU19">
            <v>0</v>
          </cell>
        </row>
        <row r="20">
          <cell r="B20" t="str">
            <v>Boojum - Limerick</v>
          </cell>
          <cell r="I20">
            <v>-5.01554055E-2</v>
          </cell>
          <cell r="J20">
            <v>9.9541947229999997E-2</v>
          </cell>
          <cell r="K20">
            <v>0.55881063590000002</v>
          </cell>
          <cell r="V20">
            <v>433</v>
          </cell>
          <cell r="W20">
            <v>-2.3040000000000001E-3</v>
          </cell>
          <cell r="X20">
            <v>0.117419354839</v>
          </cell>
          <cell r="Y20">
            <v>0.49826999999999999</v>
          </cell>
          <cell r="AQ20">
            <v>6.7796999999999996E-2</v>
          </cell>
          <cell r="AX20">
            <v>0.99283312816699998</v>
          </cell>
          <cell r="BL20">
            <v>8.153846154</v>
          </cell>
          <cell r="CG20">
            <v>0.99999834831000001</v>
          </cell>
          <cell r="CN20">
            <v>4.519014637413</v>
          </cell>
          <cell r="CU20">
            <v>6.6404572346000001E-2</v>
          </cell>
        </row>
        <row r="21">
          <cell r="B21" t="str">
            <v>Boojum - Mespil</v>
          </cell>
          <cell r="I21">
            <v>6.9066871000000004E-3</v>
          </cell>
          <cell r="J21">
            <v>2.7183346468999999E-2</v>
          </cell>
          <cell r="K21">
            <v>0.56779973800000005</v>
          </cell>
          <cell r="V21">
            <v>1017</v>
          </cell>
          <cell r="W21">
            <v>2.9589999999999998E-3</v>
          </cell>
          <cell r="X21">
            <v>2.1597187343E-2</v>
          </cell>
          <cell r="Y21">
            <v>0.33992099999999997</v>
          </cell>
          <cell r="AQ21">
            <v>0.106061</v>
          </cell>
          <cell r="AX21">
            <v>0.99523809546499997</v>
          </cell>
          <cell r="BL21">
            <v>9.5214821819999997</v>
          </cell>
          <cell r="CG21">
            <v>0.99999772180500002</v>
          </cell>
          <cell r="CN21">
            <v>1.4040970196660001</v>
          </cell>
          <cell r="CU21">
            <v>0.21891850826600001</v>
          </cell>
        </row>
        <row r="22">
          <cell r="B22" t="str">
            <v>Boojum - Smithfield</v>
          </cell>
          <cell r="I22">
            <v>3.2335045299999997E-2</v>
          </cell>
          <cell r="J22">
            <v>6.7026029629000006E-2</v>
          </cell>
          <cell r="K22">
            <v>1.9869070158</v>
          </cell>
          <cell r="V22">
            <v>994</v>
          </cell>
          <cell r="W22">
            <v>3.9749E-2</v>
          </cell>
          <cell r="X22">
            <v>4.7142480905999998E-2</v>
          </cell>
          <cell r="Y22">
            <v>1.831909</v>
          </cell>
          <cell r="AQ22">
            <v>5.7142999999999999E-2</v>
          </cell>
          <cell r="AX22">
            <v>0.99532567034499997</v>
          </cell>
          <cell r="BL22">
            <v>7.7873292159999998</v>
          </cell>
          <cell r="CG22">
            <v>0.99137039063700005</v>
          </cell>
          <cell r="CN22">
            <v>1.369617698189</v>
          </cell>
          <cell r="CU22">
            <v>0.105088921411</v>
          </cell>
        </row>
        <row r="23">
          <cell r="B23" t="str">
            <v>Boojum - Temple Bar</v>
          </cell>
          <cell r="I23">
            <v>0</v>
          </cell>
          <cell r="J23">
            <v>0</v>
          </cell>
          <cell r="V23">
            <v>0</v>
          </cell>
          <cell r="W23">
            <v>0</v>
          </cell>
          <cell r="X23">
            <v>0</v>
          </cell>
          <cell r="AX23">
            <v>0</v>
          </cell>
          <cell r="BL23">
            <v>0</v>
          </cell>
          <cell r="CG23">
            <v>0</v>
          </cell>
          <cell r="CN23">
            <v>0</v>
          </cell>
          <cell r="CU23">
            <v>0</v>
          </cell>
        </row>
        <row r="24">
          <cell r="B24" t="str">
            <v>Boojum - Thomas St</v>
          </cell>
          <cell r="I24">
            <v>0</v>
          </cell>
          <cell r="J24">
            <v>0</v>
          </cell>
          <cell r="K24">
            <v>-1</v>
          </cell>
          <cell r="V24">
            <v>0</v>
          </cell>
          <cell r="W24">
            <v>0</v>
          </cell>
          <cell r="X24">
            <v>0</v>
          </cell>
          <cell r="Y24">
            <v>-1</v>
          </cell>
          <cell r="AX24">
            <v>0</v>
          </cell>
          <cell r="BL24">
            <v>0</v>
          </cell>
          <cell r="CG24">
            <v>0</v>
          </cell>
          <cell r="CN24">
            <v>0</v>
          </cell>
          <cell r="CU24">
            <v>0</v>
          </cell>
        </row>
        <row r="25">
          <cell r="B25" t="str">
            <v>Boojum Breakfast - IFSC</v>
          </cell>
          <cell r="I25">
            <v>0</v>
          </cell>
          <cell r="J25">
            <v>0</v>
          </cell>
          <cell r="V25">
            <v>0</v>
          </cell>
          <cell r="W25">
            <v>0</v>
          </cell>
          <cell r="X25">
            <v>0</v>
          </cell>
          <cell r="AX25">
            <v>0</v>
          </cell>
          <cell r="BL25">
            <v>0</v>
          </cell>
          <cell r="CG25">
            <v>0</v>
          </cell>
          <cell r="CN25">
            <v>0</v>
          </cell>
          <cell r="CU25">
            <v>0</v>
          </cell>
        </row>
        <row r="26">
          <cell r="B26" t="str">
            <v>Boojum Breakfast - Mespil</v>
          </cell>
          <cell r="I26">
            <v>0</v>
          </cell>
          <cell r="J26">
            <v>0</v>
          </cell>
          <cell r="V26">
            <v>0</v>
          </cell>
          <cell r="W26">
            <v>0</v>
          </cell>
          <cell r="X26">
            <v>0</v>
          </cell>
          <cell r="AX26">
            <v>0</v>
          </cell>
          <cell r="BL26">
            <v>0</v>
          </cell>
          <cell r="CG26">
            <v>0</v>
          </cell>
          <cell r="CN26">
            <v>0</v>
          </cell>
          <cell r="CU26">
            <v>0</v>
          </cell>
        </row>
        <row r="27">
          <cell r="B27" t="str">
            <v>Boojum Kevin Street (current)</v>
          </cell>
          <cell r="I27">
            <v>-8.6077095300000003E-2</v>
          </cell>
          <cell r="J27">
            <v>-4.4980501802E-2</v>
          </cell>
          <cell r="K27">
            <v>0.38026796210000002</v>
          </cell>
          <cell r="V27">
            <v>860</v>
          </cell>
          <cell r="W27">
            <v>-5.0772999999999999E-2</v>
          </cell>
          <cell r="X27">
            <v>-3.2076533482999998E-2</v>
          </cell>
          <cell r="Y27">
            <v>0.33748099999999998</v>
          </cell>
          <cell r="AQ27">
            <v>7.4713000000000002E-2</v>
          </cell>
          <cell r="AX27">
            <v>0.99527588775499998</v>
          </cell>
          <cell r="BL27">
            <v>4.7245273609999998</v>
          </cell>
          <cell r="CG27">
            <v>0.999996203152</v>
          </cell>
          <cell r="CN27">
            <v>2.1306395360470001</v>
          </cell>
          <cell r="CU27">
            <v>0</v>
          </cell>
        </row>
        <row r="28">
          <cell r="B28" t="str">
            <v>Boojum Kevin Street (temp)</v>
          </cell>
          <cell r="I28">
            <v>0</v>
          </cell>
          <cell r="J28">
            <v>0</v>
          </cell>
          <cell r="V28">
            <v>0</v>
          </cell>
          <cell r="W28">
            <v>0</v>
          </cell>
          <cell r="X28">
            <v>0</v>
          </cell>
          <cell r="AX28">
            <v>0</v>
          </cell>
          <cell r="BL28">
            <v>0</v>
          </cell>
          <cell r="CG28">
            <v>0</v>
          </cell>
          <cell r="CN28">
            <v>0</v>
          </cell>
          <cell r="CU28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A1" t="str">
            <v>restaurant_name</v>
          </cell>
          <cell r="J1" t="str">
            <v>times_marked_unavailable_menuitems</v>
          </cell>
          <cell r="L1" t="str">
            <v>distinct_menu_items_menuitems</v>
          </cell>
        </row>
        <row r="2">
          <cell r="A2" t="str">
            <v>Quesadillas by Boojum - Cork</v>
          </cell>
          <cell r="J2">
            <v>0</v>
          </cell>
          <cell r="L2">
            <v>25</v>
          </cell>
        </row>
        <row r="3">
          <cell r="A3" t="str">
            <v>Quesadillas by Boojum - Cork</v>
          </cell>
          <cell r="J3">
            <v>0</v>
          </cell>
          <cell r="L3">
            <v>25</v>
          </cell>
        </row>
        <row r="4">
          <cell r="A4" t="str">
            <v>Quesadillas by Boojum - Cork</v>
          </cell>
          <cell r="J4">
            <v>0</v>
          </cell>
          <cell r="L4">
            <v>25</v>
          </cell>
        </row>
        <row r="5">
          <cell r="A5" t="str">
            <v>Quesadillas by Boojum - Cork</v>
          </cell>
          <cell r="J5">
            <v>0</v>
          </cell>
          <cell r="L5">
            <v>25</v>
          </cell>
        </row>
        <row r="6">
          <cell r="A6" t="str">
            <v>Quesadillas by Boojum - Cork</v>
          </cell>
          <cell r="J6">
            <v>0</v>
          </cell>
          <cell r="L6">
            <v>25</v>
          </cell>
        </row>
        <row r="7">
          <cell r="A7" t="str">
            <v>Quesadillas by Boojum - Cork</v>
          </cell>
          <cell r="J7">
            <v>0</v>
          </cell>
          <cell r="L7">
            <v>25</v>
          </cell>
        </row>
        <row r="8">
          <cell r="A8" t="str">
            <v>Quesadillas by Boojum - Cork</v>
          </cell>
          <cell r="J8">
            <v>0</v>
          </cell>
          <cell r="L8">
            <v>25</v>
          </cell>
        </row>
        <row r="9">
          <cell r="A9" t="str">
            <v>Quesadillas by Boojum - Cork</v>
          </cell>
          <cell r="J9">
            <v>0</v>
          </cell>
          <cell r="L9">
            <v>25</v>
          </cell>
        </row>
        <row r="10">
          <cell r="A10" t="str">
            <v>Quesadillas by Boojum - Cork</v>
          </cell>
          <cell r="J10">
            <v>0</v>
          </cell>
          <cell r="L10">
            <v>25</v>
          </cell>
        </row>
        <row r="11">
          <cell r="A11" t="str">
            <v>Quesadillas by Boojum - Cork</v>
          </cell>
          <cell r="J11">
            <v>0</v>
          </cell>
          <cell r="L11">
            <v>25</v>
          </cell>
        </row>
        <row r="12">
          <cell r="A12" t="str">
            <v>Quesadillas by Boojum - Cork</v>
          </cell>
          <cell r="J12">
            <v>0</v>
          </cell>
          <cell r="L12">
            <v>25</v>
          </cell>
        </row>
        <row r="13">
          <cell r="A13" t="str">
            <v>Quesadillas by Boojum - Cork</v>
          </cell>
          <cell r="J13">
            <v>1</v>
          </cell>
          <cell r="L13">
            <v>25</v>
          </cell>
        </row>
        <row r="14">
          <cell r="A14" t="str">
            <v>Quesadillas by Boojum - Cork</v>
          </cell>
          <cell r="J14">
            <v>2</v>
          </cell>
          <cell r="L14">
            <v>25</v>
          </cell>
        </row>
        <row r="15">
          <cell r="A15" t="str">
            <v>Quesadillas by Boojum - Cork</v>
          </cell>
          <cell r="J15">
            <v>2</v>
          </cell>
          <cell r="L15">
            <v>25</v>
          </cell>
        </row>
        <row r="16">
          <cell r="A16" t="str">
            <v>Quesadillas by Boojum - Cork</v>
          </cell>
          <cell r="J16">
            <v>2</v>
          </cell>
          <cell r="L16">
            <v>25</v>
          </cell>
        </row>
        <row r="17">
          <cell r="A17" t="str">
            <v>Quesadillas by Boojum - Cork</v>
          </cell>
          <cell r="J17">
            <v>3</v>
          </cell>
          <cell r="L17">
            <v>25</v>
          </cell>
        </row>
        <row r="18">
          <cell r="A18" t="str">
            <v>Quesadillas by Boojum - Cork</v>
          </cell>
          <cell r="J18">
            <v>1</v>
          </cell>
          <cell r="L18">
            <v>25</v>
          </cell>
        </row>
        <row r="19">
          <cell r="A19" t="str">
            <v>Quesadillas by Boojum - Cork</v>
          </cell>
          <cell r="J19">
            <v>0</v>
          </cell>
          <cell r="L19">
            <v>25</v>
          </cell>
        </row>
        <row r="20">
          <cell r="A20" t="str">
            <v>Quesadillas by Boojum - Cork</v>
          </cell>
          <cell r="J20">
            <v>0</v>
          </cell>
          <cell r="L20">
            <v>25</v>
          </cell>
        </row>
        <row r="21">
          <cell r="A21" t="str">
            <v>Quesadillas by Boojum - Cork</v>
          </cell>
          <cell r="J21">
            <v>0</v>
          </cell>
          <cell r="L21">
            <v>25</v>
          </cell>
        </row>
        <row r="22">
          <cell r="A22" t="str">
            <v>Quesadillas by Boojum (Smithfield Square)</v>
          </cell>
          <cell r="J22">
            <v>0</v>
          </cell>
          <cell r="L22">
            <v>21</v>
          </cell>
        </row>
        <row r="23">
          <cell r="A23" t="str">
            <v>Quesadillas by Boojum (Smithfield Square)</v>
          </cell>
          <cell r="J23">
            <v>0</v>
          </cell>
          <cell r="L23">
            <v>21</v>
          </cell>
        </row>
        <row r="24">
          <cell r="A24" t="str">
            <v>Quesadillas by Boojum (Smithfield Square)</v>
          </cell>
          <cell r="J24">
            <v>0</v>
          </cell>
          <cell r="L24">
            <v>21</v>
          </cell>
        </row>
        <row r="25">
          <cell r="A25" t="str">
            <v>Quesadillas by Boojum (Smithfield Square)</v>
          </cell>
          <cell r="J25">
            <v>4</v>
          </cell>
          <cell r="L25">
            <v>21</v>
          </cell>
        </row>
        <row r="26">
          <cell r="A26" t="str">
            <v>Quesadillas by Boojum (Smithfield Square)</v>
          </cell>
          <cell r="J26">
            <v>3</v>
          </cell>
          <cell r="L26">
            <v>21</v>
          </cell>
        </row>
        <row r="27">
          <cell r="A27" t="str">
            <v>Quesadillas by Boojum (Smithfield Square)</v>
          </cell>
          <cell r="J27">
            <v>1</v>
          </cell>
          <cell r="L27">
            <v>21</v>
          </cell>
        </row>
        <row r="28">
          <cell r="A28" t="str">
            <v>Quesadillas by Boojum (Smithfield Square)</v>
          </cell>
          <cell r="J28">
            <v>1</v>
          </cell>
          <cell r="L28">
            <v>21</v>
          </cell>
        </row>
        <row r="29">
          <cell r="A29" t="str">
            <v>Quesadillas by Boojum (Smithfield Square)</v>
          </cell>
          <cell r="J29">
            <v>0</v>
          </cell>
          <cell r="L29">
            <v>21</v>
          </cell>
        </row>
        <row r="30">
          <cell r="A30" t="str">
            <v>Quesadillas by Boojum (Smithfield Square)</v>
          </cell>
          <cell r="J30">
            <v>0</v>
          </cell>
          <cell r="L30">
            <v>21</v>
          </cell>
        </row>
        <row r="31">
          <cell r="A31" t="str">
            <v>Quesadillas by Boojum (Smithfield Square)</v>
          </cell>
          <cell r="J31">
            <v>0</v>
          </cell>
          <cell r="L31">
            <v>21</v>
          </cell>
        </row>
        <row r="32">
          <cell r="A32" t="str">
            <v>Quesadillas by Boojum (Smithfield Square)</v>
          </cell>
          <cell r="J32">
            <v>0</v>
          </cell>
          <cell r="L32">
            <v>21</v>
          </cell>
        </row>
        <row r="33">
          <cell r="A33" t="str">
            <v>Quesadillas by Boojum (Smithfield Square)</v>
          </cell>
          <cell r="J33">
            <v>0</v>
          </cell>
          <cell r="L33">
            <v>21</v>
          </cell>
        </row>
        <row r="34">
          <cell r="A34" t="str">
            <v>Quesadillas by Boojum (Smithfield Square)</v>
          </cell>
          <cell r="J34">
            <v>3</v>
          </cell>
          <cell r="L34">
            <v>21</v>
          </cell>
        </row>
        <row r="35">
          <cell r="A35" t="str">
            <v>Quesadillas by Boojum (Smithfield Square)</v>
          </cell>
          <cell r="J35">
            <v>1</v>
          </cell>
          <cell r="L35">
            <v>21</v>
          </cell>
        </row>
        <row r="36">
          <cell r="A36" t="str">
            <v>Quesadillas by Boojum (Smithfield Square)</v>
          </cell>
          <cell r="J36">
            <v>2</v>
          </cell>
          <cell r="L36">
            <v>21</v>
          </cell>
        </row>
        <row r="37">
          <cell r="A37" t="str">
            <v>Quesadillas by Boojum (Smithfield Square)</v>
          </cell>
          <cell r="J37">
            <v>0</v>
          </cell>
          <cell r="L37">
            <v>21</v>
          </cell>
        </row>
        <row r="38">
          <cell r="A38" t="str">
            <v>Quesadillas by Boojum (Patrick's Street)</v>
          </cell>
          <cell r="J38">
            <v>1</v>
          </cell>
          <cell r="L38">
            <v>14</v>
          </cell>
        </row>
        <row r="39">
          <cell r="A39" t="str">
            <v>Quesadillas by Boojum (Patrick's Street)</v>
          </cell>
          <cell r="J39">
            <v>1</v>
          </cell>
          <cell r="L39">
            <v>14</v>
          </cell>
        </row>
        <row r="40">
          <cell r="A40" t="str">
            <v>Quesadillas by Boojum (Patrick's Street)</v>
          </cell>
          <cell r="J40">
            <v>1</v>
          </cell>
          <cell r="L40">
            <v>14</v>
          </cell>
        </row>
        <row r="41">
          <cell r="A41" t="str">
            <v>Quesadillas by Boojum (Patrick's Street)</v>
          </cell>
          <cell r="J41">
            <v>1</v>
          </cell>
          <cell r="L41">
            <v>14</v>
          </cell>
        </row>
        <row r="42">
          <cell r="A42" t="str">
            <v>Quesadillas by Boojum (Patrick's Street)</v>
          </cell>
          <cell r="J42">
            <v>1</v>
          </cell>
          <cell r="L42">
            <v>14</v>
          </cell>
        </row>
        <row r="43">
          <cell r="A43" t="str">
            <v>Quesadillas by Boojum (Patrick's Street)</v>
          </cell>
          <cell r="J43">
            <v>1</v>
          </cell>
          <cell r="L43">
            <v>14</v>
          </cell>
        </row>
        <row r="44">
          <cell r="A44" t="str">
            <v>Quesadillas by Boojum (Patrick's Street)</v>
          </cell>
          <cell r="J44">
            <v>0</v>
          </cell>
          <cell r="L44">
            <v>14</v>
          </cell>
        </row>
        <row r="45">
          <cell r="A45" t="str">
            <v>Quesadillas by Boojum (Patrick's Street)</v>
          </cell>
          <cell r="J45">
            <v>0</v>
          </cell>
          <cell r="L45">
            <v>14</v>
          </cell>
        </row>
        <row r="46">
          <cell r="A46" t="str">
            <v>Quesadillas by Boojum (Patrick's Street)</v>
          </cell>
          <cell r="J46">
            <v>0</v>
          </cell>
          <cell r="L46">
            <v>14</v>
          </cell>
        </row>
        <row r="47">
          <cell r="A47" t="str">
            <v>Quesadillas by Boojum (Patrick's Street)</v>
          </cell>
          <cell r="J47">
            <v>0</v>
          </cell>
          <cell r="L47">
            <v>14</v>
          </cell>
        </row>
        <row r="48">
          <cell r="A48" t="str">
            <v>Quesadillas by Boojum (IFSC) - temp change to George st</v>
          </cell>
          <cell r="J48">
            <v>0</v>
          </cell>
          <cell r="L48">
            <v>12</v>
          </cell>
        </row>
        <row r="49">
          <cell r="A49" t="str">
            <v>Quesadillas by Boojum (IFSC) - temp change to George st</v>
          </cell>
          <cell r="J49">
            <v>0</v>
          </cell>
          <cell r="L49">
            <v>12</v>
          </cell>
        </row>
        <row r="50">
          <cell r="A50" t="str">
            <v>Quesadillas by Boojum (IFSC) - temp change to George st</v>
          </cell>
          <cell r="J50">
            <v>0</v>
          </cell>
          <cell r="L50">
            <v>12</v>
          </cell>
        </row>
        <row r="51">
          <cell r="A51" t="str">
            <v>Quesadillas by Boojum (IFSC) - temp change to George st</v>
          </cell>
          <cell r="J51">
            <v>0</v>
          </cell>
          <cell r="L51">
            <v>12</v>
          </cell>
        </row>
        <row r="52">
          <cell r="A52" t="str">
            <v>Quesadillas by Boojum (IFSC) - temp change to George st</v>
          </cell>
          <cell r="J52">
            <v>0</v>
          </cell>
          <cell r="L52">
            <v>12</v>
          </cell>
        </row>
        <row r="53">
          <cell r="A53" t="str">
            <v>Quesadillas by Boojum (IFSC) - temp change to George st</v>
          </cell>
          <cell r="J53">
            <v>0</v>
          </cell>
          <cell r="L53">
            <v>12</v>
          </cell>
        </row>
        <row r="54">
          <cell r="A54" t="str">
            <v>Quesadillas by Boojum (IFSC) - temp change to George st</v>
          </cell>
          <cell r="J54">
            <v>0</v>
          </cell>
          <cell r="L54">
            <v>12</v>
          </cell>
        </row>
        <row r="55">
          <cell r="A55" t="str">
            <v>Quesadillas by Boojum (IFSC) - temp change to George st</v>
          </cell>
          <cell r="J55">
            <v>0</v>
          </cell>
          <cell r="L55">
            <v>12</v>
          </cell>
        </row>
        <row r="56">
          <cell r="A56" t="str">
            <v>Quesadillas by Boojum (Hanover Quay)</v>
          </cell>
          <cell r="J56">
            <v>0</v>
          </cell>
          <cell r="L56">
            <v>19</v>
          </cell>
        </row>
        <row r="57">
          <cell r="A57" t="str">
            <v>Quesadillas by Boojum (Hanover Quay)</v>
          </cell>
          <cell r="J57">
            <v>0</v>
          </cell>
          <cell r="L57">
            <v>19</v>
          </cell>
        </row>
        <row r="58">
          <cell r="A58" t="str">
            <v>Quesadillas by Boojum (Hanover Quay)</v>
          </cell>
          <cell r="J58">
            <v>0</v>
          </cell>
          <cell r="L58">
            <v>19</v>
          </cell>
        </row>
        <row r="59">
          <cell r="A59" t="str">
            <v>Quesadillas by Boojum (Hanover Quay)</v>
          </cell>
          <cell r="J59">
            <v>0</v>
          </cell>
          <cell r="L59">
            <v>19</v>
          </cell>
        </row>
        <row r="60">
          <cell r="A60" t="str">
            <v>Quesadillas by Boojum (Hanover Quay)</v>
          </cell>
          <cell r="J60">
            <v>0</v>
          </cell>
          <cell r="L60">
            <v>19</v>
          </cell>
        </row>
        <row r="61">
          <cell r="A61" t="str">
            <v>Quesadillas by Boojum (Hanover Quay)</v>
          </cell>
          <cell r="J61">
            <v>0</v>
          </cell>
          <cell r="L61">
            <v>19</v>
          </cell>
        </row>
        <row r="62">
          <cell r="A62" t="str">
            <v>Quesadillas by Boojum (Hanover Quay)</v>
          </cell>
          <cell r="J62">
            <v>0</v>
          </cell>
          <cell r="L62">
            <v>19</v>
          </cell>
        </row>
        <row r="63">
          <cell r="A63" t="str">
            <v>Quesadillas by Boojum (Hanover Quay)</v>
          </cell>
          <cell r="J63">
            <v>0</v>
          </cell>
          <cell r="L63">
            <v>19</v>
          </cell>
        </row>
        <row r="64">
          <cell r="A64" t="str">
            <v>Quesadillas by Boojum (Hanover Quay)</v>
          </cell>
          <cell r="J64">
            <v>0</v>
          </cell>
          <cell r="L64">
            <v>19</v>
          </cell>
        </row>
        <row r="65">
          <cell r="A65" t="str">
            <v>Quesadillas by Boojum (Hanover Quay)</v>
          </cell>
          <cell r="J65">
            <v>0</v>
          </cell>
          <cell r="L65">
            <v>19</v>
          </cell>
        </row>
        <row r="66">
          <cell r="A66" t="str">
            <v>Quesadillas by Boojum (Hanover Quay)</v>
          </cell>
          <cell r="J66">
            <v>0</v>
          </cell>
          <cell r="L66">
            <v>19</v>
          </cell>
        </row>
        <row r="67">
          <cell r="A67" t="str">
            <v>Quesadillas by Boojum (Hanover Quay)</v>
          </cell>
          <cell r="J67">
            <v>0</v>
          </cell>
          <cell r="L67">
            <v>19</v>
          </cell>
        </row>
        <row r="68">
          <cell r="A68" t="str">
            <v>Quesadillas by Boojum (Hanover Quay)</v>
          </cell>
          <cell r="J68">
            <v>0</v>
          </cell>
          <cell r="L68">
            <v>19</v>
          </cell>
        </row>
        <row r="69">
          <cell r="A69" t="str">
            <v>Quesadillas by Boojum (Hanover Quay)</v>
          </cell>
          <cell r="J69">
            <v>0</v>
          </cell>
          <cell r="L69">
            <v>19</v>
          </cell>
        </row>
        <row r="70">
          <cell r="A70" t="str">
            <v>I 💙 Churros - Smithfield</v>
          </cell>
          <cell r="J70">
            <v>0</v>
          </cell>
          <cell r="L70">
            <v>14</v>
          </cell>
        </row>
        <row r="71">
          <cell r="A71" t="str">
            <v>I 💙 Churros - Smithfield</v>
          </cell>
          <cell r="J71">
            <v>0</v>
          </cell>
          <cell r="L71">
            <v>14</v>
          </cell>
        </row>
        <row r="72">
          <cell r="A72" t="str">
            <v>I 💙 Churros - Smithfield</v>
          </cell>
          <cell r="J72">
            <v>0</v>
          </cell>
          <cell r="L72">
            <v>14</v>
          </cell>
        </row>
        <row r="73">
          <cell r="A73" t="str">
            <v>I 💙 Churros - Smithfield</v>
          </cell>
          <cell r="J73">
            <v>0</v>
          </cell>
          <cell r="L73">
            <v>14</v>
          </cell>
        </row>
        <row r="74">
          <cell r="A74" t="str">
            <v>I 💙 Churros - Smithfield</v>
          </cell>
          <cell r="J74">
            <v>0</v>
          </cell>
          <cell r="L74">
            <v>14</v>
          </cell>
        </row>
        <row r="75">
          <cell r="A75" t="str">
            <v>I 💙 Churros - Smithfield</v>
          </cell>
          <cell r="J75">
            <v>0</v>
          </cell>
          <cell r="L75">
            <v>14</v>
          </cell>
        </row>
        <row r="76">
          <cell r="A76" t="str">
            <v>I 💙 Churros - Smithfield</v>
          </cell>
          <cell r="J76">
            <v>0</v>
          </cell>
          <cell r="L76">
            <v>14</v>
          </cell>
        </row>
        <row r="77">
          <cell r="A77" t="str">
            <v>I 💙 Churros - Smithfield</v>
          </cell>
          <cell r="J77">
            <v>0</v>
          </cell>
          <cell r="L77">
            <v>14</v>
          </cell>
        </row>
        <row r="78">
          <cell r="A78" t="str">
            <v>I 💙 Churros - Smithfield</v>
          </cell>
          <cell r="J78">
            <v>0</v>
          </cell>
          <cell r="L78">
            <v>14</v>
          </cell>
        </row>
        <row r="79">
          <cell r="A79" t="str">
            <v>I 💙 Churros - Smithfield</v>
          </cell>
          <cell r="J79">
            <v>0</v>
          </cell>
          <cell r="L79">
            <v>14</v>
          </cell>
        </row>
        <row r="80">
          <cell r="A80" t="str">
            <v>I 💙 Churros - Smithfield</v>
          </cell>
          <cell r="J80">
            <v>0</v>
          </cell>
          <cell r="L80">
            <v>14</v>
          </cell>
        </row>
        <row r="81">
          <cell r="A81" t="str">
            <v>I 💙 Churros - Smithfield</v>
          </cell>
          <cell r="J81">
            <v>0</v>
          </cell>
          <cell r="L81">
            <v>14</v>
          </cell>
        </row>
        <row r="82">
          <cell r="A82" t="str">
            <v>I 💙 Churros - Limerick</v>
          </cell>
          <cell r="J82">
            <v>0</v>
          </cell>
          <cell r="L82">
            <v>10</v>
          </cell>
        </row>
        <row r="83">
          <cell r="A83" t="str">
            <v>I 💙 Churros - Limerick</v>
          </cell>
          <cell r="J83">
            <v>0</v>
          </cell>
          <cell r="L83">
            <v>10</v>
          </cell>
        </row>
        <row r="84">
          <cell r="A84" t="str">
            <v>I 💙 Churros - Limerick</v>
          </cell>
          <cell r="J84">
            <v>0</v>
          </cell>
          <cell r="L84">
            <v>10</v>
          </cell>
        </row>
        <row r="85">
          <cell r="A85" t="str">
            <v>I 💙 Churros - Limerick</v>
          </cell>
          <cell r="J85">
            <v>0</v>
          </cell>
          <cell r="L85">
            <v>10</v>
          </cell>
        </row>
        <row r="86">
          <cell r="A86" t="str">
            <v>I 💙 Churros - Limerick</v>
          </cell>
          <cell r="J86">
            <v>0</v>
          </cell>
          <cell r="L86">
            <v>10</v>
          </cell>
        </row>
        <row r="87">
          <cell r="A87" t="str">
            <v>I 💙 Churros - Limerick</v>
          </cell>
          <cell r="J87">
            <v>0</v>
          </cell>
          <cell r="L87">
            <v>10</v>
          </cell>
        </row>
        <row r="88">
          <cell r="A88" t="str">
            <v>I 💙 Churros - Limerick</v>
          </cell>
          <cell r="J88">
            <v>1</v>
          </cell>
          <cell r="L88">
            <v>10</v>
          </cell>
        </row>
        <row r="89">
          <cell r="A89" t="str">
            <v>I 💙 Churros - Limerick</v>
          </cell>
          <cell r="J89">
            <v>1</v>
          </cell>
          <cell r="L89">
            <v>10</v>
          </cell>
        </row>
        <row r="90">
          <cell r="A90" t="str">
            <v>I 💙 Churros - Kevin St</v>
          </cell>
          <cell r="J90">
            <v>0</v>
          </cell>
          <cell r="L90">
            <v>18</v>
          </cell>
        </row>
        <row r="91">
          <cell r="A91" t="str">
            <v>I 💙 Churros - Kevin St</v>
          </cell>
          <cell r="J91">
            <v>1</v>
          </cell>
          <cell r="L91">
            <v>18</v>
          </cell>
        </row>
        <row r="92">
          <cell r="A92" t="str">
            <v>I 💙 Churros - Kevin St</v>
          </cell>
          <cell r="J92">
            <v>1</v>
          </cell>
          <cell r="L92">
            <v>18</v>
          </cell>
        </row>
        <row r="93">
          <cell r="A93" t="str">
            <v>I 💙 Churros - Kevin St</v>
          </cell>
          <cell r="J93">
            <v>0</v>
          </cell>
          <cell r="L93">
            <v>18</v>
          </cell>
        </row>
        <row r="94">
          <cell r="A94" t="str">
            <v>I 💙 Churros - Kevin St</v>
          </cell>
          <cell r="J94">
            <v>0</v>
          </cell>
          <cell r="L94">
            <v>18</v>
          </cell>
        </row>
        <row r="95">
          <cell r="A95" t="str">
            <v>I 💙 Churros - Kevin St</v>
          </cell>
          <cell r="J95">
            <v>0</v>
          </cell>
          <cell r="L95">
            <v>18</v>
          </cell>
        </row>
        <row r="96">
          <cell r="A96" t="str">
            <v>I 💙 Churros - Kevin St</v>
          </cell>
          <cell r="J96">
            <v>0</v>
          </cell>
          <cell r="L96">
            <v>18</v>
          </cell>
        </row>
        <row r="97">
          <cell r="A97" t="str">
            <v>I 💙 Churros - Kevin St</v>
          </cell>
          <cell r="J97">
            <v>0</v>
          </cell>
          <cell r="L97">
            <v>18</v>
          </cell>
        </row>
        <row r="98">
          <cell r="A98" t="str">
            <v>I 💙 Churros - Kevin St</v>
          </cell>
          <cell r="J98">
            <v>0</v>
          </cell>
          <cell r="L98">
            <v>18</v>
          </cell>
        </row>
        <row r="99">
          <cell r="A99" t="str">
            <v>I 💙 Churros - Kevin St</v>
          </cell>
          <cell r="J99">
            <v>0</v>
          </cell>
          <cell r="L99">
            <v>18</v>
          </cell>
        </row>
        <row r="100">
          <cell r="A100" t="str">
            <v>I 💙 Churros - Kevin St</v>
          </cell>
          <cell r="J100">
            <v>0</v>
          </cell>
          <cell r="L100">
            <v>18</v>
          </cell>
        </row>
        <row r="101">
          <cell r="A101" t="str">
            <v>I 💙 Churros - Kevin St</v>
          </cell>
          <cell r="J101">
            <v>0</v>
          </cell>
          <cell r="L101">
            <v>18</v>
          </cell>
        </row>
        <row r="102">
          <cell r="A102" t="str">
            <v>I 💙 Churros - Kevin St</v>
          </cell>
          <cell r="J102">
            <v>0</v>
          </cell>
          <cell r="L102">
            <v>18</v>
          </cell>
        </row>
        <row r="103">
          <cell r="A103" t="str">
            <v>I 💙 Churros - Kevin St</v>
          </cell>
          <cell r="J103">
            <v>0</v>
          </cell>
          <cell r="L103">
            <v>18</v>
          </cell>
        </row>
        <row r="104">
          <cell r="A104" t="str">
            <v>Ben &amp; Jerry's - Boojum George's Street</v>
          </cell>
          <cell r="J104">
            <v>0</v>
          </cell>
          <cell r="L104">
            <v>14</v>
          </cell>
        </row>
        <row r="105">
          <cell r="A105" t="str">
            <v>Ben &amp; Jerry's - Boojum George's Street</v>
          </cell>
          <cell r="J105">
            <v>0</v>
          </cell>
          <cell r="L105">
            <v>14</v>
          </cell>
        </row>
        <row r="106">
          <cell r="A106" t="str">
            <v>Ben &amp; Jerry's - Boojum George's Street</v>
          </cell>
          <cell r="J106">
            <v>0</v>
          </cell>
          <cell r="L106">
            <v>14</v>
          </cell>
        </row>
        <row r="107">
          <cell r="A107" t="str">
            <v>Ben &amp; Jerry's - Boojum George's Street</v>
          </cell>
          <cell r="J107">
            <v>0</v>
          </cell>
          <cell r="L107">
            <v>14</v>
          </cell>
        </row>
        <row r="108">
          <cell r="A108" t="str">
            <v>Ben &amp; Jerry's - Boojum George's Street</v>
          </cell>
          <cell r="J108">
            <v>1</v>
          </cell>
          <cell r="L108">
            <v>14</v>
          </cell>
        </row>
        <row r="109">
          <cell r="A109" t="str">
            <v>Ben &amp; Jerry's - Boojum George's Street</v>
          </cell>
          <cell r="J109">
            <v>0</v>
          </cell>
          <cell r="L109">
            <v>14</v>
          </cell>
        </row>
        <row r="110">
          <cell r="A110" t="str">
            <v>Ben &amp; Jerry's - Boojum George's Street</v>
          </cell>
          <cell r="J110">
            <v>0</v>
          </cell>
          <cell r="L110">
            <v>14</v>
          </cell>
        </row>
        <row r="111">
          <cell r="A111" t="str">
            <v>Ben &amp; Jerry's - Boojum George's Street</v>
          </cell>
          <cell r="J111">
            <v>0</v>
          </cell>
          <cell r="L111">
            <v>14</v>
          </cell>
        </row>
        <row r="112">
          <cell r="A112" t="str">
            <v>Ben &amp; Jerry's - Boojum George's Street</v>
          </cell>
          <cell r="J112">
            <v>0</v>
          </cell>
          <cell r="L112">
            <v>14</v>
          </cell>
        </row>
        <row r="113">
          <cell r="A113" t="str">
            <v>Ben &amp; Jerry's - Boojum George's Street</v>
          </cell>
          <cell r="J113">
            <v>0</v>
          </cell>
          <cell r="L113">
            <v>14</v>
          </cell>
        </row>
        <row r="114">
          <cell r="A114" t="str">
            <v>Ben &amp; Jerry's - Boojum George's Street</v>
          </cell>
          <cell r="J114">
            <v>0</v>
          </cell>
          <cell r="L114">
            <v>14</v>
          </cell>
        </row>
        <row r="115">
          <cell r="A115" t="str">
            <v>Boojum Kevin Street (current)</v>
          </cell>
          <cell r="J115">
            <v>0</v>
          </cell>
          <cell r="L115">
            <v>123</v>
          </cell>
        </row>
        <row r="116">
          <cell r="A116" t="str">
            <v>Boojum Kevin Street (current)</v>
          </cell>
          <cell r="J116">
            <v>0</v>
          </cell>
          <cell r="L116">
            <v>123</v>
          </cell>
        </row>
        <row r="117">
          <cell r="A117" t="str">
            <v>Boojum Kevin Street (current)</v>
          </cell>
          <cell r="J117">
            <v>0</v>
          </cell>
          <cell r="L117">
            <v>123</v>
          </cell>
        </row>
        <row r="118">
          <cell r="A118" t="str">
            <v>Boojum Kevin Street (current)</v>
          </cell>
          <cell r="J118">
            <v>0</v>
          </cell>
          <cell r="L118">
            <v>123</v>
          </cell>
        </row>
        <row r="119">
          <cell r="A119" t="str">
            <v>Boojum Kevin Street (current)</v>
          </cell>
          <cell r="J119">
            <v>0</v>
          </cell>
          <cell r="L119">
            <v>123</v>
          </cell>
        </row>
        <row r="120">
          <cell r="A120" t="str">
            <v>Boojum Kevin Street (current)</v>
          </cell>
          <cell r="J120">
            <v>0</v>
          </cell>
          <cell r="L120">
            <v>123</v>
          </cell>
        </row>
        <row r="121">
          <cell r="A121" t="str">
            <v>Boojum Kevin Street (current)</v>
          </cell>
          <cell r="J121">
            <v>0</v>
          </cell>
          <cell r="L121">
            <v>123</v>
          </cell>
        </row>
        <row r="122">
          <cell r="A122" t="str">
            <v>Boojum Kevin Street (current)</v>
          </cell>
          <cell r="J122">
            <v>0</v>
          </cell>
          <cell r="L122">
            <v>123</v>
          </cell>
        </row>
        <row r="123">
          <cell r="A123" t="str">
            <v>Boojum Kevin Street (current)</v>
          </cell>
          <cell r="J123">
            <v>0</v>
          </cell>
          <cell r="L123">
            <v>123</v>
          </cell>
        </row>
        <row r="124">
          <cell r="A124" t="str">
            <v>Boojum Kevin Street (current)</v>
          </cell>
          <cell r="J124">
            <v>0</v>
          </cell>
          <cell r="L124">
            <v>123</v>
          </cell>
        </row>
        <row r="125">
          <cell r="A125" t="str">
            <v>Boojum Kevin Street (current)</v>
          </cell>
          <cell r="J125">
            <v>0</v>
          </cell>
          <cell r="L125">
            <v>123</v>
          </cell>
        </row>
        <row r="126">
          <cell r="A126" t="str">
            <v>Boojum Kevin Street (current)</v>
          </cell>
          <cell r="J126">
            <v>0</v>
          </cell>
          <cell r="L126">
            <v>123</v>
          </cell>
        </row>
        <row r="127">
          <cell r="A127" t="str">
            <v>Boojum Kevin Street (current)</v>
          </cell>
          <cell r="J127">
            <v>0</v>
          </cell>
          <cell r="L127">
            <v>123</v>
          </cell>
        </row>
        <row r="128">
          <cell r="A128" t="str">
            <v>Boojum Kevin Street (current)</v>
          </cell>
          <cell r="J128">
            <v>0</v>
          </cell>
          <cell r="L128">
            <v>123</v>
          </cell>
        </row>
        <row r="129">
          <cell r="A129" t="str">
            <v>Boojum Kevin Street (current)</v>
          </cell>
          <cell r="J129">
            <v>0</v>
          </cell>
          <cell r="L129">
            <v>123</v>
          </cell>
        </row>
        <row r="130">
          <cell r="A130" t="str">
            <v>Boojum Kevin Street (current)</v>
          </cell>
          <cell r="J130">
            <v>0</v>
          </cell>
          <cell r="L130">
            <v>123</v>
          </cell>
        </row>
        <row r="131">
          <cell r="A131" t="str">
            <v>Boojum Kevin Street (current)</v>
          </cell>
          <cell r="J131">
            <v>0</v>
          </cell>
          <cell r="L131">
            <v>123</v>
          </cell>
        </row>
        <row r="132">
          <cell r="A132" t="str">
            <v>Boojum Kevin Street (current)</v>
          </cell>
          <cell r="J132">
            <v>0</v>
          </cell>
          <cell r="L132">
            <v>123</v>
          </cell>
        </row>
        <row r="133">
          <cell r="A133" t="str">
            <v>Boojum Kevin Street (current)</v>
          </cell>
          <cell r="J133">
            <v>0</v>
          </cell>
          <cell r="L133">
            <v>123</v>
          </cell>
        </row>
        <row r="134">
          <cell r="A134" t="str">
            <v>Boojum Kevin Street (current)</v>
          </cell>
          <cell r="J134">
            <v>0</v>
          </cell>
          <cell r="L134">
            <v>123</v>
          </cell>
        </row>
        <row r="135">
          <cell r="A135" t="str">
            <v>Boojum Kevin Street (current)</v>
          </cell>
          <cell r="J135">
            <v>0</v>
          </cell>
          <cell r="L135">
            <v>123</v>
          </cell>
        </row>
        <row r="136">
          <cell r="A136" t="str">
            <v>Boojum Kevin Street (current)</v>
          </cell>
          <cell r="J136">
            <v>0</v>
          </cell>
          <cell r="L136">
            <v>123</v>
          </cell>
        </row>
        <row r="137">
          <cell r="A137" t="str">
            <v>Boojum Kevin Street (current)</v>
          </cell>
          <cell r="J137">
            <v>0</v>
          </cell>
          <cell r="L137">
            <v>123</v>
          </cell>
        </row>
        <row r="138">
          <cell r="A138" t="str">
            <v>Boojum Kevin Street (current)</v>
          </cell>
          <cell r="J138">
            <v>0</v>
          </cell>
          <cell r="L138">
            <v>123</v>
          </cell>
        </row>
        <row r="139">
          <cell r="A139" t="str">
            <v>Boojum Kevin Street (current)</v>
          </cell>
          <cell r="J139">
            <v>0</v>
          </cell>
          <cell r="L139">
            <v>123</v>
          </cell>
        </row>
        <row r="140">
          <cell r="A140" t="str">
            <v>Boojum Kevin Street (current)</v>
          </cell>
          <cell r="J140">
            <v>0</v>
          </cell>
          <cell r="L140">
            <v>123</v>
          </cell>
        </row>
        <row r="141">
          <cell r="A141" t="str">
            <v>Boojum Kevin Street (current)</v>
          </cell>
          <cell r="J141">
            <v>0</v>
          </cell>
          <cell r="L141">
            <v>123</v>
          </cell>
        </row>
        <row r="142">
          <cell r="A142" t="str">
            <v>Boojum Kevin Street (current)</v>
          </cell>
          <cell r="J142">
            <v>0</v>
          </cell>
          <cell r="L142">
            <v>123</v>
          </cell>
        </row>
        <row r="143">
          <cell r="A143" t="str">
            <v>Boojum Kevin Street (current)</v>
          </cell>
          <cell r="J143">
            <v>0</v>
          </cell>
          <cell r="L143">
            <v>123</v>
          </cell>
        </row>
        <row r="144">
          <cell r="A144" t="str">
            <v>Boojum Kevin Street (current)</v>
          </cell>
          <cell r="J144">
            <v>0</v>
          </cell>
          <cell r="L144">
            <v>123</v>
          </cell>
        </row>
        <row r="145">
          <cell r="A145" t="str">
            <v>Boojum Kevin Street (current)</v>
          </cell>
          <cell r="J145">
            <v>0</v>
          </cell>
          <cell r="L145">
            <v>123</v>
          </cell>
        </row>
        <row r="146">
          <cell r="A146" t="str">
            <v>Boojum Kevin Street (current)</v>
          </cell>
          <cell r="J146">
            <v>0</v>
          </cell>
          <cell r="L146">
            <v>123</v>
          </cell>
        </row>
        <row r="147">
          <cell r="A147" t="str">
            <v>Boojum Kevin Street (current)</v>
          </cell>
          <cell r="J147">
            <v>0</v>
          </cell>
          <cell r="L147">
            <v>123</v>
          </cell>
        </row>
        <row r="148">
          <cell r="A148" t="str">
            <v>Boojum Kevin Street (current)</v>
          </cell>
          <cell r="J148">
            <v>0</v>
          </cell>
          <cell r="L148">
            <v>123</v>
          </cell>
        </row>
        <row r="149">
          <cell r="A149" t="str">
            <v>Boojum Kevin Street (current)</v>
          </cell>
          <cell r="J149">
            <v>0</v>
          </cell>
          <cell r="L149">
            <v>123</v>
          </cell>
        </row>
        <row r="150">
          <cell r="A150" t="str">
            <v>Boojum Kevin Street (current)</v>
          </cell>
          <cell r="J150">
            <v>0</v>
          </cell>
          <cell r="L150">
            <v>123</v>
          </cell>
        </row>
        <row r="151">
          <cell r="A151" t="str">
            <v>Boojum Kevin Street (current)</v>
          </cell>
          <cell r="J151">
            <v>0</v>
          </cell>
          <cell r="L151">
            <v>123</v>
          </cell>
        </row>
        <row r="152">
          <cell r="A152" t="str">
            <v>Boojum Kevin Street (current)</v>
          </cell>
          <cell r="J152">
            <v>0</v>
          </cell>
          <cell r="L152">
            <v>123</v>
          </cell>
        </row>
        <row r="153">
          <cell r="A153" t="str">
            <v>Boojum Kevin Street (current)</v>
          </cell>
          <cell r="J153">
            <v>0</v>
          </cell>
          <cell r="L153">
            <v>123</v>
          </cell>
        </row>
        <row r="154">
          <cell r="A154" t="str">
            <v>Boojum - Smithfield</v>
          </cell>
          <cell r="J154">
            <v>0</v>
          </cell>
          <cell r="L154">
            <v>117</v>
          </cell>
        </row>
        <row r="155">
          <cell r="A155" t="str">
            <v>Boojum - Smithfield</v>
          </cell>
          <cell r="J155">
            <v>0</v>
          </cell>
          <cell r="L155">
            <v>117</v>
          </cell>
        </row>
        <row r="156">
          <cell r="A156" t="str">
            <v>Boojum - Smithfield</v>
          </cell>
          <cell r="J156">
            <v>0</v>
          </cell>
          <cell r="L156">
            <v>117</v>
          </cell>
        </row>
        <row r="157">
          <cell r="A157" t="str">
            <v>Boojum - Smithfield</v>
          </cell>
          <cell r="J157">
            <v>0</v>
          </cell>
          <cell r="L157">
            <v>117</v>
          </cell>
        </row>
        <row r="158">
          <cell r="A158" t="str">
            <v>Boojum - Smithfield</v>
          </cell>
          <cell r="J158">
            <v>0</v>
          </cell>
          <cell r="L158">
            <v>117</v>
          </cell>
        </row>
        <row r="159">
          <cell r="A159" t="str">
            <v>Boojum - Smithfield</v>
          </cell>
          <cell r="J159">
            <v>6</v>
          </cell>
          <cell r="L159">
            <v>117</v>
          </cell>
        </row>
        <row r="160">
          <cell r="A160" t="str">
            <v>Boojum - Smithfield</v>
          </cell>
          <cell r="J160">
            <v>4</v>
          </cell>
          <cell r="L160">
            <v>117</v>
          </cell>
        </row>
        <row r="161">
          <cell r="A161" t="str">
            <v>Boojum - Smithfield</v>
          </cell>
          <cell r="J161">
            <v>1</v>
          </cell>
          <cell r="L161">
            <v>117</v>
          </cell>
        </row>
        <row r="162">
          <cell r="A162" t="str">
            <v>Boojum - Smithfield</v>
          </cell>
          <cell r="J162">
            <v>1</v>
          </cell>
          <cell r="L162">
            <v>117</v>
          </cell>
        </row>
        <row r="163">
          <cell r="A163" t="str">
            <v>Boojum - Smithfield</v>
          </cell>
          <cell r="J163">
            <v>0</v>
          </cell>
          <cell r="L163">
            <v>117</v>
          </cell>
        </row>
        <row r="164">
          <cell r="A164" t="str">
            <v>Boojum - Smithfield</v>
          </cell>
          <cell r="J164">
            <v>0</v>
          </cell>
          <cell r="L164">
            <v>117</v>
          </cell>
        </row>
        <row r="165">
          <cell r="A165" t="str">
            <v>Boojum - Smithfield</v>
          </cell>
          <cell r="J165">
            <v>0</v>
          </cell>
          <cell r="L165">
            <v>117</v>
          </cell>
        </row>
        <row r="166">
          <cell r="A166" t="str">
            <v>Boojum - Smithfield</v>
          </cell>
          <cell r="J166">
            <v>0</v>
          </cell>
          <cell r="L166">
            <v>117</v>
          </cell>
        </row>
        <row r="167">
          <cell r="A167" t="str">
            <v>Boojum - Smithfield</v>
          </cell>
          <cell r="J167">
            <v>0</v>
          </cell>
          <cell r="L167">
            <v>117</v>
          </cell>
        </row>
        <row r="168">
          <cell r="A168" t="str">
            <v>Boojum - Smithfield</v>
          </cell>
          <cell r="J168">
            <v>0</v>
          </cell>
          <cell r="L168">
            <v>117</v>
          </cell>
        </row>
        <row r="169">
          <cell r="A169" t="str">
            <v>Boojum - Smithfield</v>
          </cell>
          <cell r="J169">
            <v>0</v>
          </cell>
          <cell r="L169">
            <v>117</v>
          </cell>
        </row>
        <row r="170">
          <cell r="A170" t="str">
            <v>Boojum - Smithfield</v>
          </cell>
          <cell r="J170">
            <v>0</v>
          </cell>
          <cell r="L170">
            <v>117</v>
          </cell>
        </row>
        <row r="171">
          <cell r="A171" t="str">
            <v>Boojum - Smithfield</v>
          </cell>
          <cell r="J171">
            <v>0</v>
          </cell>
          <cell r="L171">
            <v>117</v>
          </cell>
        </row>
        <row r="172">
          <cell r="A172" t="str">
            <v>Boojum - Smithfield</v>
          </cell>
          <cell r="J172">
            <v>0</v>
          </cell>
          <cell r="L172">
            <v>117</v>
          </cell>
        </row>
        <row r="173">
          <cell r="A173" t="str">
            <v>Boojum - Smithfield</v>
          </cell>
          <cell r="J173">
            <v>1</v>
          </cell>
          <cell r="L173">
            <v>117</v>
          </cell>
        </row>
        <row r="174">
          <cell r="A174" t="str">
            <v>Boojum - Smithfield</v>
          </cell>
          <cell r="J174">
            <v>1</v>
          </cell>
          <cell r="L174">
            <v>117</v>
          </cell>
        </row>
        <row r="175">
          <cell r="A175" t="str">
            <v>Boojum - Smithfield</v>
          </cell>
          <cell r="J175">
            <v>0</v>
          </cell>
          <cell r="L175">
            <v>117</v>
          </cell>
        </row>
        <row r="176">
          <cell r="A176" t="str">
            <v>Boojum - Smithfield</v>
          </cell>
          <cell r="J176">
            <v>0</v>
          </cell>
          <cell r="L176">
            <v>117</v>
          </cell>
        </row>
        <row r="177">
          <cell r="A177" t="str">
            <v>Boojum - Smithfield</v>
          </cell>
          <cell r="J177">
            <v>0</v>
          </cell>
          <cell r="L177">
            <v>117</v>
          </cell>
        </row>
        <row r="178">
          <cell r="A178" t="str">
            <v>Boojum - Smithfield</v>
          </cell>
          <cell r="J178">
            <v>0</v>
          </cell>
          <cell r="L178">
            <v>117</v>
          </cell>
        </row>
        <row r="179">
          <cell r="A179" t="str">
            <v>Boojum - Smithfield</v>
          </cell>
          <cell r="J179">
            <v>0</v>
          </cell>
          <cell r="L179">
            <v>117</v>
          </cell>
        </row>
        <row r="180">
          <cell r="A180" t="str">
            <v>Boojum - Smithfield</v>
          </cell>
          <cell r="J180">
            <v>0</v>
          </cell>
          <cell r="L180">
            <v>117</v>
          </cell>
        </row>
        <row r="181">
          <cell r="A181" t="str">
            <v>Boojum - Smithfield</v>
          </cell>
          <cell r="J181">
            <v>0</v>
          </cell>
          <cell r="L181">
            <v>117</v>
          </cell>
        </row>
        <row r="182">
          <cell r="A182" t="str">
            <v>Boojum - Smithfield</v>
          </cell>
          <cell r="J182">
            <v>0</v>
          </cell>
          <cell r="L182">
            <v>117</v>
          </cell>
        </row>
        <row r="183">
          <cell r="A183" t="str">
            <v>Boojum - Smithfield</v>
          </cell>
          <cell r="J183">
            <v>0</v>
          </cell>
          <cell r="L183">
            <v>117</v>
          </cell>
        </row>
        <row r="184">
          <cell r="A184" t="str">
            <v>Boojum - Smithfield</v>
          </cell>
          <cell r="J184">
            <v>0</v>
          </cell>
          <cell r="L184">
            <v>117</v>
          </cell>
        </row>
        <row r="185">
          <cell r="A185" t="str">
            <v>Boojum - Smithfield</v>
          </cell>
          <cell r="J185">
            <v>0</v>
          </cell>
          <cell r="L185">
            <v>117</v>
          </cell>
        </row>
        <row r="186">
          <cell r="A186" t="str">
            <v>Boojum - Smithfield</v>
          </cell>
          <cell r="J186">
            <v>0</v>
          </cell>
          <cell r="L186">
            <v>117</v>
          </cell>
        </row>
        <row r="187">
          <cell r="A187" t="str">
            <v>Boojum - Smithfield</v>
          </cell>
          <cell r="J187">
            <v>0</v>
          </cell>
          <cell r="L187">
            <v>117</v>
          </cell>
        </row>
        <row r="188">
          <cell r="A188" t="str">
            <v>Boojum - Smithfield</v>
          </cell>
          <cell r="J188">
            <v>0</v>
          </cell>
          <cell r="L188">
            <v>117</v>
          </cell>
        </row>
        <row r="189">
          <cell r="A189" t="str">
            <v>Boojum - Smithfield</v>
          </cell>
          <cell r="J189">
            <v>0</v>
          </cell>
          <cell r="L189">
            <v>117</v>
          </cell>
        </row>
        <row r="190">
          <cell r="A190" t="str">
            <v>Boojum - Smithfield</v>
          </cell>
          <cell r="J190">
            <v>0</v>
          </cell>
          <cell r="L190">
            <v>117</v>
          </cell>
        </row>
        <row r="191">
          <cell r="A191" t="str">
            <v>Boojum - Smithfield</v>
          </cell>
          <cell r="J191">
            <v>0</v>
          </cell>
          <cell r="L191">
            <v>117</v>
          </cell>
        </row>
        <row r="192">
          <cell r="A192" t="str">
            <v>Boojum - Smithfield</v>
          </cell>
          <cell r="J192">
            <v>0</v>
          </cell>
          <cell r="L192">
            <v>117</v>
          </cell>
        </row>
        <row r="193">
          <cell r="A193" t="str">
            <v>Boojum - Smithfield</v>
          </cell>
          <cell r="J193">
            <v>0</v>
          </cell>
          <cell r="L193">
            <v>117</v>
          </cell>
        </row>
        <row r="194">
          <cell r="A194" t="str">
            <v>Boojum - Mespil</v>
          </cell>
          <cell r="J194">
            <v>0</v>
          </cell>
          <cell r="L194">
            <v>117</v>
          </cell>
        </row>
        <row r="195">
          <cell r="A195" t="str">
            <v>Boojum - Mespil</v>
          </cell>
          <cell r="J195">
            <v>0</v>
          </cell>
          <cell r="L195">
            <v>117</v>
          </cell>
        </row>
        <row r="196">
          <cell r="A196" t="str">
            <v>Boojum - Mespil</v>
          </cell>
          <cell r="J196">
            <v>0</v>
          </cell>
          <cell r="L196">
            <v>117</v>
          </cell>
        </row>
        <row r="197">
          <cell r="A197" t="str">
            <v>Boojum - Mespil</v>
          </cell>
          <cell r="J197">
            <v>0</v>
          </cell>
          <cell r="L197">
            <v>117</v>
          </cell>
        </row>
        <row r="198">
          <cell r="A198" t="str">
            <v>Boojum - Mespil</v>
          </cell>
          <cell r="J198">
            <v>0</v>
          </cell>
          <cell r="L198">
            <v>117</v>
          </cell>
        </row>
        <row r="199">
          <cell r="A199" t="str">
            <v>Boojum - Mespil</v>
          </cell>
          <cell r="J199">
            <v>0</v>
          </cell>
          <cell r="L199">
            <v>117</v>
          </cell>
        </row>
        <row r="200">
          <cell r="A200" t="str">
            <v>Boojum - Mespil</v>
          </cell>
          <cell r="J200">
            <v>0</v>
          </cell>
          <cell r="L200">
            <v>117</v>
          </cell>
        </row>
        <row r="201">
          <cell r="A201" t="str">
            <v>Boojum - Mespil</v>
          </cell>
          <cell r="J201">
            <v>0</v>
          </cell>
          <cell r="L201">
            <v>117</v>
          </cell>
        </row>
        <row r="202">
          <cell r="A202" t="str">
            <v>Boojum - Mespil</v>
          </cell>
          <cell r="J202">
            <v>0</v>
          </cell>
          <cell r="L202">
            <v>117</v>
          </cell>
        </row>
        <row r="203">
          <cell r="A203" t="str">
            <v>Boojum - Mespil</v>
          </cell>
          <cell r="J203">
            <v>0</v>
          </cell>
          <cell r="L203">
            <v>117</v>
          </cell>
        </row>
        <row r="204">
          <cell r="A204" t="str">
            <v>Boojum - Mespil</v>
          </cell>
          <cell r="J204">
            <v>0</v>
          </cell>
          <cell r="L204">
            <v>117</v>
          </cell>
        </row>
        <row r="205">
          <cell r="A205" t="str">
            <v>Boojum - Mespil</v>
          </cell>
          <cell r="J205">
            <v>0</v>
          </cell>
          <cell r="L205">
            <v>117</v>
          </cell>
        </row>
        <row r="206">
          <cell r="A206" t="str">
            <v>Boojum - Mespil</v>
          </cell>
          <cell r="J206">
            <v>0</v>
          </cell>
          <cell r="L206">
            <v>117</v>
          </cell>
        </row>
        <row r="207">
          <cell r="A207" t="str">
            <v>Boojum - Mespil</v>
          </cell>
          <cell r="J207">
            <v>0</v>
          </cell>
          <cell r="L207">
            <v>117</v>
          </cell>
        </row>
        <row r="208">
          <cell r="A208" t="str">
            <v>Boojum - Mespil</v>
          </cell>
          <cell r="J208">
            <v>0</v>
          </cell>
          <cell r="L208">
            <v>117</v>
          </cell>
        </row>
        <row r="209">
          <cell r="A209" t="str">
            <v>Boojum - Mespil</v>
          </cell>
          <cell r="J209">
            <v>0</v>
          </cell>
          <cell r="L209">
            <v>117</v>
          </cell>
        </row>
        <row r="210">
          <cell r="A210" t="str">
            <v>Boojum - Mespil</v>
          </cell>
          <cell r="J210">
            <v>0</v>
          </cell>
          <cell r="L210">
            <v>117</v>
          </cell>
        </row>
        <row r="211">
          <cell r="A211" t="str">
            <v>Boojum - Mespil</v>
          </cell>
          <cell r="J211">
            <v>0</v>
          </cell>
          <cell r="L211">
            <v>117</v>
          </cell>
        </row>
        <row r="212">
          <cell r="A212" t="str">
            <v>Boojum - Mespil</v>
          </cell>
          <cell r="J212">
            <v>0</v>
          </cell>
          <cell r="L212">
            <v>117</v>
          </cell>
        </row>
        <row r="213">
          <cell r="A213" t="str">
            <v>Boojum - Mespil</v>
          </cell>
          <cell r="J213">
            <v>0</v>
          </cell>
          <cell r="L213">
            <v>117</v>
          </cell>
        </row>
        <row r="214">
          <cell r="A214" t="str">
            <v>Boojum - Mespil</v>
          </cell>
          <cell r="J214">
            <v>0</v>
          </cell>
          <cell r="L214">
            <v>117</v>
          </cell>
        </row>
        <row r="215">
          <cell r="A215" t="str">
            <v>Boojum - Mespil</v>
          </cell>
          <cell r="J215">
            <v>0</v>
          </cell>
          <cell r="L215">
            <v>117</v>
          </cell>
        </row>
        <row r="216">
          <cell r="A216" t="str">
            <v>Boojum - Mespil</v>
          </cell>
          <cell r="J216">
            <v>0</v>
          </cell>
          <cell r="L216">
            <v>117</v>
          </cell>
        </row>
        <row r="217">
          <cell r="A217" t="str">
            <v>Boojum - Mespil</v>
          </cell>
          <cell r="J217">
            <v>2</v>
          </cell>
          <cell r="L217">
            <v>117</v>
          </cell>
        </row>
        <row r="218">
          <cell r="A218" t="str">
            <v>Boojum - Mespil</v>
          </cell>
          <cell r="J218">
            <v>1</v>
          </cell>
          <cell r="L218">
            <v>117</v>
          </cell>
        </row>
        <row r="219">
          <cell r="A219" t="str">
            <v>Boojum - Mespil</v>
          </cell>
          <cell r="J219">
            <v>1</v>
          </cell>
          <cell r="L219">
            <v>117</v>
          </cell>
        </row>
        <row r="220">
          <cell r="A220" t="str">
            <v>Boojum - Mespil</v>
          </cell>
          <cell r="J220">
            <v>1</v>
          </cell>
          <cell r="L220">
            <v>117</v>
          </cell>
        </row>
        <row r="221">
          <cell r="A221" t="str">
            <v>Boojum - Mespil</v>
          </cell>
          <cell r="J221">
            <v>0</v>
          </cell>
          <cell r="L221">
            <v>117</v>
          </cell>
        </row>
        <row r="222">
          <cell r="A222" t="str">
            <v>Boojum - Mespil</v>
          </cell>
          <cell r="J222">
            <v>1</v>
          </cell>
          <cell r="L222">
            <v>117</v>
          </cell>
        </row>
        <row r="223">
          <cell r="A223" t="str">
            <v>Boojum - Mespil</v>
          </cell>
          <cell r="J223">
            <v>0</v>
          </cell>
          <cell r="L223">
            <v>117</v>
          </cell>
        </row>
        <row r="224">
          <cell r="A224" t="str">
            <v>Boojum - Mespil</v>
          </cell>
          <cell r="J224">
            <v>0</v>
          </cell>
          <cell r="L224">
            <v>117</v>
          </cell>
        </row>
        <row r="225">
          <cell r="A225" t="str">
            <v>Boojum - Mespil</v>
          </cell>
          <cell r="J225">
            <v>0</v>
          </cell>
          <cell r="L225">
            <v>117</v>
          </cell>
        </row>
        <row r="226">
          <cell r="A226" t="str">
            <v>Boojum - Mespil</v>
          </cell>
          <cell r="J226">
            <v>0</v>
          </cell>
          <cell r="L226">
            <v>117</v>
          </cell>
        </row>
        <row r="227">
          <cell r="A227" t="str">
            <v>Boojum - Mespil</v>
          </cell>
          <cell r="J227">
            <v>0</v>
          </cell>
          <cell r="L227">
            <v>117</v>
          </cell>
        </row>
        <row r="228">
          <cell r="A228" t="str">
            <v>Boojum - Mespil</v>
          </cell>
          <cell r="J228">
            <v>0</v>
          </cell>
          <cell r="L228">
            <v>117</v>
          </cell>
        </row>
        <row r="229">
          <cell r="A229" t="str">
            <v>Boojum - Mespil</v>
          </cell>
          <cell r="J229">
            <v>0</v>
          </cell>
          <cell r="L229">
            <v>117</v>
          </cell>
        </row>
        <row r="230">
          <cell r="A230" t="str">
            <v>Boojum - Mespil</v>
          </cell>
          <cell r="J230">
            <v>0</v>
          </cell>
          <cell r="L230">
            <v>117</v>
          </cell>
        </row>
        <row r="231">
          <cell r="A231" t="str">
            <v>Boojum - Mespil</v>
          </cell>
          <cell r="J231">
            <v>1</v>
          </cell>
          <cell r="L231">
            <v>117</v>
          </cell>
        </row>
        <row r="232">
          <cell r="A232" t="str">
            <v>Boojum - Mespil</v>
          </cell>
          <cell r="J232">
            <v>0</v>
          </cell>
          <cell r="L232">
            <v>117</v>
          </cell>
        </row>
        <row r="233">
          <cell r="A233" t="str">
            <v>Boojum - Mespil</v>
          </cell>
          <cell r="J233">
            <v>1</v>
          </cell>
          <cell r="L233">
            <v>117</v>
          </cell>
        </row>
        <row r="234">
          <cell r="A234" t="str">
            <v>Boojum - Limerick</v>
          </cell>
          <cell r="J234">
            <v>0</v>
          </cell>
          <cell r="L234">
            <v>115</v>
          </cell>
        </row>
        <row r="235">
          <cell r="A235" t="str">
            <v>Boojum - Limerick</v>
          </cell>
          <cell r="J235">
            <v>0</v>
          </cell>
          <cell r="L235">
            <v>115</v>
          </cell>
        </row>
        <row r="236">
          <cell r="A236" t="str">
            <v>Boojum - Limerick</v>
          </cell>
          <cell r="J236">
            <v>0</v>
          </cell>
          <cell r="L236">
            <v>115</v>
          </cell>
        </row>
        <row r="237">
          <cell r="A237" t="str">
            <v>Boojum - Limerick</v>
          </cell>
          <cell r="J237">
            <v>0</v>
          </cell>
          <cell r="L237">
            <v>115</v>
          </cell>
        </row>
        <row r="238">
          <cell r="A238" t="str">
            <v>Boojum - Limerick</v>
          </cell>
          <cell r="J238">
            <v>1</v>
          </cell>
          <cell r="L238">
            <v>115</v>
          </cell>
        </row>
        <row r="239">
          <cell r="A239" t="str">
            <v>Boojum - Limerick</v>
          </cell>
          <cell r="J239">
            <v>0</v>
          </cell>
          <cell r="L239">
            <v>115</v>
          </cell>
        </row>
        <row r="240">
          <cell r="A240" t="str">
            <v>Boojum - Limerick</v>
          </cell>
          <cell r="J240">
            <v>0</v>
          </cell>
          <cell r="L240">
            <v>115</v>
          </cell>
        </row>
        <row r="241">
          <cell r="A241" t="str">
            <v>Boojum - Limerick</v>
          </cell>
          <cell r="J241">
            <v>0</v>
          </cell>
          <cell r="L241">
            <v>115</v>
          </cell>
        </row>
        <row r="242">
          <cell r="A242" t="str">
            <v>Boojum - Limerick</v>
          </cell>
          <cell r="J242">
            <v>0</v>
          </cell>
          <cell r="L242">
            <v>115</v>
          </cell>
        </row>
        <row r="243">
          <cell r="A243" t="str">
            <v>Boojum - Limerick</v>
          </cell>
          <cell r="J243">
            <v>0</v>
          </cell>
          <cell r="L243">
            <v>115</v>
          </cell>
        </row>
        <row r="244">
          <cell r="A244" t="str">
            <v>Boojum - Limerick</v>
          </cell>
          <cell r="J244">
            <v>0</v>
          </cell>
          <cell r="L244">
            <v>115</v>
          </cell>
        </row>
        <row r="245">
          <cell r="A245" t="str">
            <v>Boojum - Limerick</v>
          </cell>
          <cell r="J245">
            <v>0</v>
          </cell>
          <cell r="L245">
            <v>115</v>
          </cell>
        </row>
        <row r="246">
          <cell r="A246" t="str">
            <v>Boojum - Limerick</v>
          </cell>
          <cell r="J246">
            <v>0</v>
          </cell>
          <cell r="L246">
            <v>115</v>
          </cell>
        </row>
        <row r="247">
          <cell r="A247" t="str">
            <v>Boojum - Limerick</v>
          </cell>
          <cell r="J247">
            <v>0</v>
          </cell>
          <cell r="L247">
            <v>115</v>
          </cell>
        </row>
        <row r="248">
          <cell r="A248" t="str">
            <v>Boojum - Limerick</v>
          </cell>
          <cell r="J248">
            <v>1</v>
          </cell>
          <cell r="L248">
            <v>115</v>
          </cell>
        </row>
        <row r="249">
          <cell r="A249" t="str">
            <v>Boojum - Limerick</v>
          </cell>
          <cell r="J249">
            <v>0</v>
          </cell>
          <cell r="L249">
            <v>115</v>
          </cell>
        </row>
        <row r="250">
          <cell r="A250" t="str">
            <v>Boojum - Limerick</v>
          </cell>
          <cell r="J250">
            <v>0</v>
          </cell>
          <cell r="L250">
            <v>115</v>
          </cell>
        </row>
        <row r="251">
          <cell r="A251" t="str">
            <v>Boojum - Limerick</v>
          </cell>
          <cell r="J251">
            <v>0</v>
          </cell>
          <cell r="L251">
            <v>115</v>
          </cell>
        </row>
        <row r="252">
          <cell r="A252" t="str">
            <v>Boojum - Limerick</v>
          </cell>
          <cell r="J252">
            <v>0</v>
          </cell>
          <cell r="L252">
            <v>115</v>
          </cell>
        </row>
        <row r="253">
          <cell r="A253" t="str">
            <v>Boojum - Limerick</v>
          </cell>
          <cell r="J253">
            <v>0</v>
          </cell>
          <cell r="L253">
            <v>115</v>
          </cell>
        </row>
        <row r="254">
          <cell r="A254" t="str">
            <v>Boojum - Limerick</v>
          </cell>
          <cell r="J254">
            <v>0</v>
          </cell>
          <cell r="L254">
            <v>115</v>
          </cell>
        </row>
        <row r="255">
          <cell r="A255" t="str">
            <v>Boojum - Limerick</v>
          </cell>
          <cell r="J255">
            <v>0</v>
          </cell>
          <cell r="L255">
            <v>115</v>
          </cell>
        </row>
        <row r="256">
          <cell r="A256" t="str">
            <v>Boojum - Limerick</v>
          </cell>
          <cell r="J256">
            <v>0</v>
          </cell>
          <cell r="L256">
            <v>115</v>
          </cell>
        </row>
        <row r="257">
          <cell r="A257" t="str">
            <v>Boojum - Limerick</v>
          </cell>
          <cell r="J257">
            <v>0</v>
          </cell>
          <cell r="L257">
            <v>115</v>
          </cell>
        </row>
        <row r="258">
          <cell r="A258" t="str">
            <v>Boojum - Limerick</v>
          </cell>
          <cell r="J258">
            <v>0</v>
          </cell>
          <cell r="L258">
            <v>115</v>
          </cell>
        </row>
        <row r="259">
          <cell r="A259" t="str">
            <v>Boojum - Limerick</v>
          </cell>
          <cell r="J259">
            <v>0</v>
          </cell>
          <cell r="L259">
            <v>115</v>
          </cell>
        </row>
        <row r="260">
          <cell r="A260" t="str">
            <v>Boojum - Limerick</v>
          </cell>
          <cell r="J260">
            <v>0</v>
          </cell>
          <cell r="L260">
            <v>115</v>
          </cell>
        </row>
        <row r="261">
          <cell r="A261" t="str">
            <v>Boojum - Limerick</v>
          </cell>
          <cell r="J261">
            <v>0</v>
          </cell>
          <cell r="L261">
            <v>115</v>
          </cell>
        </row>
        <row r="262">
          <cell r="A262" t="str">
            <v>Boojum - Limerick</v>
          </cell>
          <cell r="J262">
            <v>0</v>
          </cell>
          <cell r="L262">
            <v>115</v>
          </cell>
        </row>
        <row r="263">
          <cell r="A263" t="str">
            <v>Boojum - Limerick</v>
          </cell>
          <cell r="J263">
            <v>0</v>
          </cell>
          <cell r="L263">
            <v>115</v>
          </cell>
        </row>
        <row r="264">
          <cell r="A264" t="str">
            <v>Boojum - Limerick</v>
          </cell>
          <cell r="J264">
            <v>0</v>
          </cell>
          <cell r="L264">
            <v>115</v>
          </cell>
        </row>
        <row r="265">
          <cell r="A265" t="str">
            <v>Boojum - Limerick</v>
          </cell>
          <cell r="J265">
            <v>0</v>
          </cell>
          <cell r="L265">
            <v>115</v>
          </cell>
        </row>
        <row r="266">
          <cell r="A266" t="str">
            <v>Boojum - Limerick</v>
          </cell>
          <cell r="J266">
            <v>0</v>
          </cell>
          <cell r="L266">
            <v>115</v>
          </cell>
        </row>
        <row r="267">
          <cell r="A267" t="str">
            <v>Boojum - Limerick</v>
          </cell>
          <cell r="J267">
            <v>0</v>
          </cell>
          <cell r="L267">
            <v>115</v>
          </cell>
        </row>
        <row r="268">
          <cell r="A268" t="str">
            <v>Boojum - Limerick</v>
          </cell>
          <cell r="J268">
            <v>0</v>
          </cell>
          <cell r="L268">
            <v>115</v>
          </cell>
        </row>
        <row r="269">
          <cell r="A269" t="str">
            <v>Boojum - Hanover Quay</v>
          </cell>
          <cell r="J269">
            <v>1</v>
          </cell>
          <cell r="L269">
            <v>104</v>
          </cell>
        </row>
        <row r="270">
          <cell r="A270" t="str">
            <v>Boojum - Hanover Quay</v>
          </cell>
          <cell r="J270">
            <v>0</v>
          </cell>
          <cell r="L270">
            <v>104</v>
          </cell>
        </row>
        <row r="271">
          <cell r="A271" t="str">
            <v>Boojum - Hanover Quay</v>
          </cell>
          <cell r="J271">
            <v>0</v>
          </cell>
          <cell r="L271">
            <v>104</v>
          </cell>
        </row>
        <row r="272">
          <cell r="A272" t="str">
            <v>Boojum - Hanover Quay</v>
          </cell>
          <cell r="J272">
            <v>0</v>
          </cell>
          <cell r="L272">
            <v>104</v>
          </cell>
        </row>
        <row r="273">
          <cell r="A273" t="str">
            <v>Boojum - Hanover Quay</v>
          </cell>
          <cell r="J273">
            <v>0</v>
          </cell>
          <cell r="L273">
            <v>104</v>
          </cell>
        </row>
        <row r="274">
          <cell r="A274" t="str">
            <v>Boojum - Hanover Quay</v>
          </cell>
          <cell r="J274">
            <v>0</v>
          </cell>
          <cell r="L274">
            <v>104</v>
          </cell>
        </row>
        <row r="275">
          <cell r="A275" t="str">
            <v>Boojum - Hanover Quay</v>
          </cell>
          <cell r="J275">
            <v>3</v>
          </cell>
          <cell r="L275">
            <v>104</v>
          </cell>
        </row>
        <row r="276">
          <cell r="A276" t="str">
            <v>Boojum - Hanover Quay</v>
          </cell>
          <cell r="J276">
            <v>0</v>
          </cell>
          <cell r="L276">
            <v>104</v>
          </cell>
        </row>
        <row r="277">
          <cell r="A277" t="str">
            <v>Boojum - Hanover Quay</v>
          </cell>
          <cell r="J277">
            <v>0</v>
          </cell>
          <cell r="L277">
            <v>104</v>
          </cell>
        </row>
        <row r="278">
          <cell r="A278" t="str">
            <v>Boojum - Hanover Quay</v>
          </cell>
          <cell r="J278">
            <v>0</v>
          </cell>
          <cell r="L278">
            <v>104</v>
          </cell>
        </row>
        <row r="279">
          <cell r="A279" t="str">
            <v>Boojum - Hanover Quay</v>
          </cell>
          <cell r="J279">
            <v>0</v>
          </cell>
          <cell r="L279">
            <v>104</v>
          </cell>
        </row>
        <row r="280">
          <cell r="A280" t="str">
            <v>Boojum - Hanover Quay</v>
          </cell>
          <cell r="J280">
            <v>0</v>
          </cell>
          <cell r="L280">
            <v>104</v>
          </cell>
        </row>
        <row r="281">
          <cell r="A281" t="str">
            <v>Boojum - Hanover Quay</v>
          </cell>
          <cell r="J281">
            <v>0</v>
          </cell>
          <cell r="L281">
            <v>104</v>
          </cell>
        </row>
        <row r="282">
          <cell r="A282" t="str">
            <v>Boojum - Hanover Quay</v>
          </cell>
          <cell r="J282">
            <v>0</v>
          </cell>
          <cell r="L282">
            <v>104</v>
          </cell>
        </row>
        <row r="283">
          <cell r="A283" t="str">
            <v>Boojum - Hanover Quay</v>
          </cell>
          <cell r="J283">
            <v>0</v>
          </cell>
          <cell r="L283">
            <v>104</v>
          </cell>
        </row>
        <row r="284">
          <cell r="A284" t="str">
            <v>Boojum - Hanover Quay</v>
          </cell>
          <cell r="J284">
            <v>0</v>
          </cell>
          <cell r="L284">
            <v>104</v>
          </cell>
        </row>
        <row r="285">
          <cell r="A285" t="str">
            <v>Boojum - Hanover Quay</v>
          </cell>
          <cell r="J285">
            <v>0</v>
          </cell>
          <cell r="L285">
            <v>104</v>
          </cell>
        </row>
        <row r="286">
          <cell r="A286" t="str">
            <v>Boojum - Hanover Quay</v>
          </cell>
          <cell r="J286">
            <v>0</v>
          </cell>
          <cell r="L286">
            <v>104</v>
          </cell>
        </row>
        <row r="287">
          <cell r="A287" t="str">
            <v>Boojum - Hanover Quay</v>
          </cell>
          <cell r="J287">
            <v>1</v>
          </cell>
          <cell r="L287">
            <v>104</v>
          </cell>
        </row>
        <row r="288">
          <cell r="A288" t="str">
            <v>Boojum - Hanover Quay</v>
          </cell>
          <cell r="J288">
            <v>0</v>
          </cell>
          <cell r="L288">
            <v>104</v>
          </cell>
        </row>
        <row r="289">
          <cell r="A289" t="str">
            <v>Boojum - Hanover Quay</v>
          </cell>
          <cell r="J289">
            <v>0</v>
          </cell>
          <cell r="L289">
            <v>104</v>
          </cell>
        </row>
        <row r="290">
          <cell r="A290" t="str">
            <v>Boojum - Hanover Quay</v>
          </cell>
          <cell r="J290">
            <v>0</v>
          </cell>
          <cell r="L290">
            <v>104</v>
          </cell>
        </row>
        <row r="291">
          <cell r="A291" t="str">
            <v>Boojum - Hanover Quay</v>
          </cell>
          <cell r="J291">
            <v>0</v>
          </cell>
          <cell r="L291">
            <v>104</v>
          </cell>
        </row>
        <row r="292">
          <cell r="A292" t="str">
            <v>Boojum - Hanover Quay</v>
          </cell>
          <cell r="J292">
            <v>1</v>
          </cell>
          <cell r="L292">
            <v>104</v>
          </cell>
        </row>
        <row r="293">
          <cell r="A293" t="str">
            <v>Boojum - Hanover Quay</v>
          </cell>
          <cell r="J293">
            <v>0</v>
          </cell>
          <cell r="L293">
            <v>104</v>
          </cell>
        </row>
        <row r="294">
          <cell r="A294" t="str">
            <v>Boojum - Hanover Quay</v>
          </cell>
          <cell r="J294">
            <v>1</v>
          </cell>
          <cell r="L294">
            <v>104</v>
          </cell>
        </row>
        <row r="295">
          <cell r="A295" t="str">
            <v>Boojum - Hanover Quay</v>
          </cell>
          <cell r="J295">
            <v>1</v>
          </cell>
          <cell r="L295">
            <v>104</v>
          </cell>
        </row>
        <row r="296">
          <cell r="A296" t="str">
            <v>Boojum - Hanover Quay</v>
          </cell>
          <cell r="J296">
            <v>1</v>
          </cell>
          <cell r="L296">
            <v>104</v>
          </cell>
        </row>
        <row r="297">
          <cell r="A297" t="str">
            <v>Boojum - Hanover Quay</v>
          </cell>
          <cell r="J297">
            <v>2</v>
          </cell>
          <cell r="L297">
            <v>104</v>
          </cell>
        </row>
        <row r="298">
          <cell r="A298" t="str">
            <v>Boojum - Hanover Quay</v>
          </cell>
          <cell r="J298">
            <v>2</v>
          </cell>
          <cell r="L298">
            <v>104</v>
          </cell>
        </row>
        <row r="299">
          <cell r="A299" t="str">
            <v>Boojum - Galway</v>
          </cell>
          <cell r="J299">
            <v>0</v>
          </cell>
          <cell r="L299">
            <v>121</v>
          </cell>
        </row>
        <row r="300">
          <cell r="A300" t="str">
            <v>Boojum - Galway</v>
          </cell>
          <cell r="J300">
            <v>0</v>
          </cell>
          <cell r="L300">
            <v>121</v>
          </cell>
        </row>
        <row r="301">
          <cell r="A301" t="str">
            <v>Boojum - Galway</v>
          </cell>
          <cell r="J301">
            <v>0</v>
          </cell>
          <cell r="L301">
            <v>121</v>
          </cell>
        </row>
        <row r="302">
          <cell r="A302" t="str">
            <v>Boojum - Galway</v>
          </cell>
          <cell r="J302">
            <v>0</v>
          </cell>
          <cell r="L302">
            <v>121</v>
          </cell>
        </row>
        <row r="303">
          <cell r="A303" t="str">
            <v>Boojum - Galway</v>
          </cell>
          <cell r="J303">
            <v>0</v>
          </cell>
          <cell r="L303">
            <v>121</v>
          </cell>
        </row>
        <row r="304">
          <cell r="A304" t="str">
            <v>Boojum - Galway</v>
          </cell>
          <cell r="J304">
            <v>0</v>
          </cell>
          <cell r="L304">
            <v>121</v>
          </cell>
        </row>
        <row r="305">
          <cell r="A305" t="str">
            <v>Boojum - Galway</v>
          </cell>
          <cell r="J305">
            <v>0</v>
          </cell>
          <cell r="L305">
            <v>121</v>
          </cell>
        </row>
        <row r="306">
          <cell r="A306" t="str">
            <v>Boojum - Galway</v>
          </cell>
          <cell r="J306">
            <v>0</v>
          </cell>
          <cell r="L306">
            <v>121</v>
          </cell>
        </row>
        <row r="307">
          <cell r="A307" t="str">
            <v>Boojum - Galway</v>
          </cell>
          <cell r="J307">
            <v>0</v>
          </cell>
          <cell r="L307">
            <v>121</v>
          </cell>
        </row>
        <row r="308">
          <cell r="A308" t="str">
            <v>Boojum - Galway</v>
          </cell>
          <cell r="J308">
            <v>0</v>
          </cell>
          <cell r="L308">
            <v>121</v>
          </cell>
        </row>
        <row r="309">
          <cell r="A309" t="str">
            <v>Boojum - Galway</v>
          </cell>
          <cell r="J309">
            <v>0</v>
          </cell>
          <cell r="L309">
            <v>121</v>
          </cell>
        </row>
        <row r="310">
          <cell r="A310" t="str">
            <v>Boojum - Galway</v>
          </cell>
          <cell r="J310">
            <v>0</v>
          </cell>
          <cell r="L310">
            <v>121</v>
          </cell>
        </row>
        <row r="311">
          <cell r="A311" t="str">
            <v>Boojum - Galway</v>
          </cell>
          <cell r="J311">
            <v>0</v>
          </cell>
          <cell r="L311">
            <v>121</v>
          </cell>
        </row>
        <row r="312">
          <cell r="A312" t="str">
            <v>Boojum - Galway</v>
          </cell>
          <cell r="J312">
            <v>0</v>
          </cell>
          <cell r="L312">
            <v>121</v>
          </cell>
        </row>
        <row r="313">
          <cell r="A313" t="str">
            <v>Boojum - Galway</v>
          </cell>
          <cell r="J313">
            <v>0</v>
          </cell>
          <cell r="L313">
            <v>121</v>
          </cell>
        </row>
        <row r="314">
          <cell r="A314" t="str">
            <v>Boojum - Galway</v>
          </cell>
          <cell r="J314">
            <v>0</v>
          </cell>
          <cell r="L314">
            <v>121</v>
          </cell>
        </row>
        <row r="315">
          <cell r="A315" t="str">
            <v>Boojum - Galway</v>
          </cell>
          <cell r="J315">
            <v>0</v>
          </cell>
          <cell r="L315">
            <v>121</v>
          </cell>
        </row>
        <row r="316">
          <cell r="A316" t="str">
            <v>Boojum - Galway</v>
          </cell>
          <cell r="J316">
            <v>0</v>
          </cell>
          <cell r="L316">
            <v>121</v>
          </cell>
        </row>
        <row r="317">
          <cell r="A317" t="str">
            <v>Boojum - Galway</v>
          </cell>
          <cell r="J317">
            <v>0</v>
          </cell>
          <cell r="L317">
            <v>121</v>
          </cell>
        </row>
        <row r="318">
          <cell r="A318" t="str">
            <v>Boojum - Galway</v>
          </cell>
          <cell r="J318">
            <v>0</v>
          </cell>
          <cell r="L318">
            <v>121</v>
          </cell>
        </row>
        <row r="319">
          <cell r="A319" t="str">
            <v>Boojum - Galway</v>
          </cell>
          <cell r="J319">
            <v>0</v>
          </cell>
          <cell r="L319">
            <v>121</v>
          </cell>
        </row>
        <row r="320">
          <cell r="A320" t="str">
            <v>Boojum - Galway</v>
          </cell>
          <cell r="J320">
            <v>0</v>
          </cell>
          <cell r="L320">
            <v>121</v>
          </cell>
        </row>
        <row r="321">
          <cell r="A321" t="str">
            <v>Boojum - Galway</v>
          </cell>
          <cell r="J321">
            <v>0</v>
          </cell>
          <cell r="L321">
            <v>121</v>
          </cell>
        </row>
        <row r="322">
          <cell r="A322" t="str">
            <v>Boojum - Galway</v>
          </cell>
          <cell r="J322">
            <v>2</v>
          </cell>
          <cell r="L322">
            <v>121</v>
          </cell>
        </row>
        <row r="323">
          <cell r="A323" t="str">
            <v>Boojum - Galway</v>
          </cell>
          <cell r="J323">
            <v>2</v>
          </cell>
          <cell r="L323">
            <v>121</v>
          </cell>
        </row>
        <row r="324">
          <cell r="A324" t="str">
            <v>Boojum - Galway</v>
          </cell>
          <cell r="J324">
            <v>0</v>
          </cell>
          <cell r="L324">
            <v>121</v>
          </cell>
        </row>
        <row r="325">
          <cell r="A325" t="str">
            <v>Boojum - Galway</v>
          </cell>
          <cell r="J325">
            <v>0</v>
          </cell>
          <cell r="L325">
            <v>121</v>
          </cell>
        </row>
        <row r="326">
          <cell r="A326" t="str">
            <v>Boojum - Galway</v>
          </cell>
          <cell r="J326">
            <v>0</v>
          </cell>
          <cell r="L326">
            <v>121</v>
          </cell>
        </row>
        <row r="327">
          <cell r="A327" t="str">
            <v>Boojum - Galway</v>
          </cell>
          <cell r="J327">
            <v>0</v>
          </cell>
          <cell r="L327">
            <v>121</v>
          </cell>
        </row>
        <row r="328">
          <cell r="A328" t="str">
            <v>Boojum - Galway</v>
          </cell>
          <cell r="J328">
            <v>0</v>
          </cell>
          <cell r="L328">
            <v>121</v>
          </cell>
        </row>
        <row r="329">
          <cell r="A329" t="str">
            <v>Boojum - Galway</v>
          </cell>
          <cell r="J329">
            <v>0</v>
          </cell>
          <cell r="L329">
            <v>121</v>
          </cell>
        </row>
        <row r="330">
          <cell r="A330" t="str">
            <v>Boojum - Galway</v>
          </cell>
          <cell r="J330">
            <v>0</v>
          </cell>
          <cell r="L330">
            <v>121</v>
          </cell>
        </row>
        <row r="331">
          <cell r="A331" t="str">
            <v>Boojum - Galway</v>
          </cell>
          <cell r="J331">
            <v>0</v>
          </cell>
          <cell r="L331">
            <v>121</v>
          </cell>
        </row>
        <row r="332">
          <cell r="A332" t="str">
            <v>Boojum - Galway</v>
          </cell>
          <cell r="J332">
            <v>0</v>
          </cell>
          <cell r="L332">
            <v>121</v>
          </cell>
        </row>
        <row r="333">
          <cell r="A333" t="str">
            <v>Boojum - Galway</v>
          </cell>
          <cell r="J333">
            <v>0</v>
          </cell>
          <cell r="L333">
            <v>121</v>
          </cell>
        </row>
        <row r="334">
          <cell r="A334" t="str">
            <v>Boojum - Galway</v>
          </cell>
          <cell r="J334">
            <v>0</v>
          </cell>
          <cell r="L334">
            <v>121</v>
          </cell>
        </row>
        <row r="335">
          <cell r="A335" t="str">
            <v>Boojum - Galway</v>
          </cell>
          <cell r="J335">
            <v>0</v>
          </cell>
          <cell r="L335">
            <v>121</v>
          </cell>
        </row>
        <row r="336">
          <cell r="A336" t="str">
            <v>Boojum - Galway</v>
          </cell>
          <cell r="J336">
            <v>0</v>
          </cell>
          <cell r="L336">
            <v>121</v>
          </cell>
        </row>
        <row r="337">
          <cell r="A337" t="str">
            <v>Boojum - Cork</v>
          </cell>
          <cell r="J337">
            <v>0</v>
          </cell>
          <cell r="L337">
            <v>124</v>
          </cell>
        </row>
        <row r="338">
          <cell r="A338" t="str">
            <v>Boojum - Cork</v>
          </cell>
          <cell r="J338">
            <v>0</v>
          </cell>
          <cell r="L338">
            <v>124</v>
          </cell>
        </row>
        <row r="339">
          <cell r="A339" t="str">
            <v>Boojum - Cork</v>
          </cell>
          <cell r="J339">
            <v>0</v>
          </cell>
          <cell r="L339">
            <v>124</v>
          </cell>
        </row>
        <row r="340">
          <cell r="A340" t="str">
            <v>Boojum - Cork</v>
          </cell>
          <cell r="J340">
            <v>0</v>
          </cell>
          <cell r="L340">
            <v>124</v>
          </cell>
        </row>
        <row r="341">
          <cell r="A341" t="str">
            <v>Boojum - Cork</v>
          </cell>
          <cell r="J341">
            <v>0</v>
          </cell>
          <cell r="L341">
            <v>124</v>
          </cell>
        </row>
        <row r="342">
          <cell r="A342" t="str">
            <v>Boojum - Cork</v>
          </cell>
          <cell r="J342">
            <v>0</v>
          </cell>
          <cell r="L342">
            <v>124</v>
          </cell>
        </row>
        <row r="343">
          <cell r="A343" t="str">
            <v>Boojum - Cork</v>
          </cell>
          <cell r="J343">
            <v>0</v>
          </cell>
          <cell r="L343">
            <v>124</v>
          </cell>
        </row>
        <row r="344">
          <cell r="A344" t="str">
            <v>Boojum - Cork</v>
          </cell>
          <cell r="J344">
            <v>0</v>
          </cell>
          <cell r="L344">
            <v>124</v>
          </cell>
        </row>
        <row r="345">
          <cell r="A345" t="str">
            <v>Boojum - Cork</v>
          </cell>
          <cell r="J345">
            <v>0</v>
          </cell>
          <cell r="L345">
            <v>124</v>
          </cell>
        </row>
        <row r="346">
          <cell r="A346" t="str">
            <v>Boojum - Cork</v>
          </cell>
          <cell r="J346">
            <v>0</v>
          </cell>
          <cell r="L346">
            <v>124</v>
          </cell>
        </row>
        <row r="347">
          <cell r="A347" t="str">
            <v>Boojum - Cork</v>
          </cell>
          <cell r="J347">
            <v>0</v>
          </cell>
          <cell r="L347">
            <v>124</v>
          </cell>
        </row>
        <row r="348">
          <cell r="A348" t="str">
            <v>Boojum - Cork</v>
          </cell>
          <cell r="J348">
            <v>0</v>
          </cell>
          <cell r="L348">
            <v>124</v>
          </cell>
        </row>
        <row r="349">
          <cell r="A349" t="str">
            <v>Boojum - Cork</v>
          </cell>
          <cell r="J349">
            <v>0</v>
          </cell>
          <cell r="L349">
            <v>124</v>
          </cell>
        </row>
        <row r="350">
          <cell r="A350" t="str">
            <v>Boojum - Cork</v>
          </cell>
          <cell r="J350">
            <v>0</v>
          </cell>
          <cell r="L350">
            <v>124</v>
          </cell>
        </row>
        <row r="351">
          <cell r="A351" t="str">
            <v>Boojum - Cork</v>
          </cell>
          <cell r="J351">
            <v>0</v>
          </cell>
          <cell r="L351">
            <v>124</v>
          </cell>
        </row>
        <row r="352">
          <cell r="A352" t="str">
            <v>Boojum - Cork</v>
          </cell>
          <cell r="J352">
            <v>0</v>
          </cell>
          <cell r="L352">
            <v>124</v>
          </cell>
        </row>
        <row r="353">
          <cell r="A353" t="str">
            <v>Boojum - Cork</v>
          </cell>
          <cell r="J353">
            <v>0</v>
          </cell>
          <cell r="L353">
            <v>124</v>
          </cell>
        </row>
        <row r="354">
          <cell r="A354" t="str">
            <v>Boojum - Cork</v>
          </cell>
          <cell r="J354">
            <v>0</v>
          </cell>
          <cell r="L354">
            <v>124</v>
          </cell>
        </row>
        <row r="355">
          <cell r="A355" t="str">
            <v>Boojum - Cork</v>
          </cell>
          <cell r="J355">
            <v>0</v>
          </cell>
          <cell r="L355">
            <v>124</v>
          </cell>
        </row>
        <row r="356">
          <cell r="A356" t="str">
            <v>Boojum - Cork</v>
          </cell>
          <cell r="J356">
            <v>0</v>
          </cell>
          <cell r="L356">
            <v>124</v>
          </cell>
        </row>
        <row r="357">
          <cell r="A357" t="str">
            <v>Boojum - Cork</v>
          </cell>
          <cell r="J357">
            <v>0</v>
          </cell>
          <cell r="L357">
            <v>124</v>
          </cell>
        </row>
        <row r="358">
          <cell r="A358" t="str">
            <v>Boojum - Cork</v>
          </cell>
          <cell r="J358">
            <v>2</v>
          </cell>
          <cell r="L358">
            <v>124</v>
          </cell>
        </row>
        <row r="359">
          <cell r="A359" t="str">
            <v>Boojum - Cork</v>
          </cell>
          <cell r="J359">
            <v>0</v>
          </cell>
          <cell r="L359">
            <v>124</v>
          </cell>
        </row>
        <row r="360">
          <cell r="A360" t="str">
            <v>Boojum - Cork</v>
          </cell>
          <cell r="J360">
            <v>0</v>
          </cell>
          <cell r="L360">
            <v>124</v>
          </cell>
        </row>
        <row r="361">
          <cell r="A361" t="str">
            <v>Boojum - Cork</v>
          </cell>
          <cell r="J361">
            <v>0</v>
          </cell>
          <cell r="L361">
            <v>124</v>
          </cell>
        </row>
        <row r="362">
          <cell r="A362" t="str">
            <v>Boojum - Cork</v>
          </cell>
          <cell r="J362">
            <v>1</v>
          </cell>
          <cell r="L362">
            <v>124</v>
          </cell>
        </row>
        <row r="363">
          <cell r="A363" t="str">
            <v>Boojum - Cork</v>
          </cell>
          <cell r="J363">
            <v>1</v>
          </cell>
          <cell r="L363">
            <v>124</v>
          </cell>
        </row>
        <row r="364">
          <cell r="A364" t="str">
            <v>Boojum - Cork</v>
          </cell>
          <cell r="J364">
            <v>1</v>
          </cell>
          <cell r="L364">
            <v>124</v>
          </cell>
        </row>
        <row r="365">
          <cell r="A365" t="str">
            <v>Boojum - Cork</v>
          </cell>
          <cell r="J365">
            <v>2</v>
          </cell>
          <cell r="L365">
            <v>124</v>
          </cell>
        </row>
        <row r="366">
          <cell r="A366" t="str">
            <v>Boojum - Cork</v>
          </cell>
          <cell r="J366">
            <v>2</v>
          </cell>
          <cell r="L366">
            <v>124</v>
          </cell>
        </row>
        <row r="367">
          <cell r="A367" t="str">
            <v>Boojum - Cork</v>
          </cell>
          <cell r="J367">
            <v>0</v>
          </cell>
          <cell r="L367">
            <v>124</v>
          </cell>
        </row>
        <row r="368">
          <cell r="A368" t="str">
            <v>Boojum - Cork</v>
          </cell>
          <cell r="J368">
            <v>0</v>
          </cell>
          <cell r="L368">
            <v>124</v>
          </cell>
        </row>
        <row r="369">
          <cell r="A369" t="str">
            <v>Boojum - Cork</v>
          </cell>
          <cell r="J369">
            <v>0</v>
          </cell>
          <cell r="L369">
            <v>124</v>
          </cell>
        </row>
        <row r="370">
          <cell r="A370" t="str">
            <v>Boojum - Cork</v>
          </cell>
          <cell r="J370">
            <v>0</v>
          </cell>
          <cell r="L370">
            <v>124</v>
          </cell>
        </row>
        <row r="371">
          <cell r="A371" t="str">
            <v>Boojum - Cork</v>
          </cell>
          <cell r="J371">
            <v>0</v>
          </cell>
          <cell r="L371">
            <v>124</v>
          </cell>
        </row>
        <row r="372">
          <cell r="A372" t="str">
            <v>Boojum - Cork</v>
          </cell>
          <cell r="J372">
            <v>0</v>
          </cell>
          <cell r="L372">
            <v>124</v>
          </cell>
        </row>
        <row r="373">
          <cell r="A373" t="str">
            <v>Boojum - Cork</v>
          </cell>
          <cell r="J373">
            <v>3</v>
          </cell>
          <cell r="L373">
            <v>124</v>
          </cell>
        </row>
        <row r="374">
          <cell r="A374" t="str">
            <v>Boojum - Cork</v>
          </cell>
          <cell r="J374">
            <v>2</v>
          </cell>
          <cell r="L374">
            <v>124</v>
          </cell>
        </row>
        <row r="375">
          <cell r="A375" t="str">
            <v>Boojum - Cork</v>
          </cell>
          <cell r="J375">
            <v>2</v>
          </cell>
          <cell r="L375">
            <v>124</v>
          </cell>
        </row>
        <row r="376">
          <cell r="A376" t="str">
            <v>Boojum - Cork</v>
          </cell>
          <cell r="J376">
            <v>0</v>
          </cell>
          <cell r="L376">
            <v>124</v>
          </cell>
        </row>
        <row r="377">
          <cell r="A377" t="str">
            <v>Boojum - Abbey St</v>
          </cell>
          <cell r="J377">
            <v>0</v>
          </cell>
          <cell r="L377">
            <v>116</v>
          </cell>
        </row>
        <row r="378">
          <cell r="A378" t="str">
            <v>Boojum - Abbey St</v>
          </cell>
          <cell r="J378">
            <v>0</v>
          </cell>
          <cell r="L378">
            <v>116</v>
          </cell>
        </row>
        <row r="379">
          <cell r="A379" t="str">
            <v>Boojum - Abbey St</v>
          </cell>
          <cell r="J379">
            <v>0</v>
          </cell>
          <cell r="L379">
            <v>116</v>
          </cell>
        </row>
        <row r="380">
          <cell r="A380" t="str">
            <v>Boojum - Abbey St</v>
          </cell>
          <cell r="J380">
            <v>0</v>
          </cell>
          <cell r="L380">
            <v>116</v>
          </cell>
        </row>
        <row r="381">
          <cell r="A381" t="str">
            <v>Boojum - Abbey St</v>
          </cell>
          <cell r="J381">
            <v>0</v>
          </cell>
          <cell r="L381">
            <v>116</v>
          </cell>
        </row>
        <row r="382">
          <cell r="A382" t="str">
            <v>Boojum - Abbey St</v>
          </cell>
          <cell r="J382">
            <v>1</v>
          </cell>
          <cell r="L382">
            <v>116</v>
          </cell>
        </row>
        <row r="383">
          <cell r="A383" t="str">
            <v>Boojum - Abbey St</v>
          </cell>
          <cell r="J383">
            <v>0</v>
          </cell>
          <cell r="L383">
            <v>116</v>
          </cell>
        </row>
        <row r="384">
          <cell r="A384" t="str">
            <v>Boojum - Abbey St</v>
          </cell>
          <cell r="J384">
            <v>4</v>
          </cell>
          <cell r="L384">
            <v>116</v>
          </cell>
        </row>
        <row r="385">
          <cell r="A385" t="str">
            <v>Boojum - Abbey St</v>
          </cell>
          <cell r="J385">
            <v>0</v>
          </cell>
          <cell r="L385">
            <v>116</v>
          </cell>
        </row>
        <row r="386">
          <cell r="A386" t="str">
            <v>Boojum - Abbey St</v>
          </cell>
          <cell r="J386">
            <v>0</v>
          </cell>
          <cell r="L386">
            <v>116</v>
          </cell>
        </row>
        <row r="387">
          <cell r="A387" t="str">
            <v>Boojum - Abbey St</v>
          </cell>
          <cell r="J387">
            <v>0</v>
          </cell>
          <cell r="L387">
            <v>116</v>
          </cell>
        </row>
        <row r="388">
          <cell r="A388" t="str">
            <v>Boojum - Abbey St</v>
          </cell>
          <cell r="J388">
            <v>0</v>
          </cell>
          <cell r="L388">
            <v>116</v>
          </cell>
        </row>
        <row r="389">
          <cell r="A389" t="str">
            <v>Boojum - Abbey St</v>
          </cell>
          <cell r="J389">
            <v>0</v>
          </cell>
          <cell r="L389">
            <v>116</v>
          </cell>
        </row>
        <row r="390">
          <cell r="A390" t="str">
            <v>Boojum - Abbey St</v>
          </cell>
          <cell r="J390">
            <v>0</v>
          </cell>
          <cell r="L390">
            <v>116</v>
          </cell>
        </row>
        <row r="391">
          <cell r="A391" t="str">
            <v>Boojum - Abbey St</v>
          </cell>
          <cell r="J391">
            <v>0</v>
          </cell>
          <cell r="L391">
            <v>116</v>
          </cell>
        </row>
        <row r="392">
          <cell r="A392" t="str">
            <v>Boojum - Abbey St</v>
          </cell>
          <cell r="J392">
            <v>0</v>
          </cell>
          <cell r="L392">
            <v>116</v>
          </cell>
        </row>
        <row r="393">
          <cell r="A393" t="str">
            <v>Boojum - Abbey St</v>
          </cell>
          <cell r="J393">
            <v>0</v>
          </cell>
          <cell r="L393">
            <v>116</v>
          </cell>
        </row>
        <row r="394">
          <cell r="A394" t="str">
            <v>Boojum - Abbey St</v>
          </cell>
          <cell r="J394">
            <v>0</v>
          </cell>
          <cell r="L394">
            <v>116</v>
          </cell>
        </row>
        <row r="395">
          <cell r="A395" t="str">
            <v>Boojum - Abbey St</v>
          </cell>
          <cell r="J395">
            <v>0</v>
          </cell>
          <cell r="L395">
            <v>116</v>
          </cell>
        </row>
        <row r="396">
          <cell r="A396" t="str">
            <v>Boojum - Abbey St</v>
          </cell>
          <cell r="J396">
            <v>0</v>
          </cell>
          <cell r="L396">
            <v>116</v>
          </cell>
        </row>
        <row r="397">
          <cell r="A397" t="str">
            <v>Boojum - Abbey St</v>
          </cell>
          <cell r="J397">
            <v>0</v>
          </cell>
          <cell r="L397">
            <v>116</v>
          </cell>
        </row>
        <row r="398">
          <cell r="A398" t="str">
            <v>Boojum - Abbey St</v>
          </cell>
          <cell r="J398">
            <v>0</v>
          </cell>
          <cell r="L398">
            <v>116</v>
          </cell>
        </row>
        <row r="399">
          <cell r="A399" t="str">
            <v>Boojum - Abbey St</v>
          </cell>
          <cell r="J399">
            <v>0</v>
          </cell>
          <cell r="L399">
            <v>116</v>
          </cell>
        </row>
        <row r="400">
          <cell r="A400" t="str">
            <v>Boojum - Abbey St</v>
          </cell>
          <cell r="J400">
            <v>0</v>
          </cell>
          <cell r="L400">
            <v>116</v>
          </cell>
        </row>
        <row r="401">
          <cell r="A401" t="str">
            <v>Boojum - Abbey St</v>
          </cell>
          <cell r="J401">
            <v>0</v>
          </cell>
          <cell r="L401">
            <v>116</v>
          </cell>
        </row>
        <row r="402">
          <cell r="A402" t="str">
            <v>Boojum - Abbey St</v>
          </cell>
          <cell r="J402">
            <v>0</v>
          </cell>
          <cell r="L402">
            <v>116</v>
          </cell>
        </row>
        <row r="403">
          <cell r="A403" t="str">
            <v>Boojum - Abbey St</v>
          </cell>
          <cell r="J403">
            <v>0</v>
          </cell>
          <cell r="L403">
            <v>116</v>
          </cell>
        </row>
        <row r="404">
          <cell r="A404" t="str">
            <v>Boojum - Abbey St</v>
          </cell>
          <cell r="J404">
            <v>0</v>
          </cell>
          <cell r="L404">
            <v>116</v>
          </cell>
        </row>
        <row r="405">
          <cell r="A405" t="str">
            <v>Boojum - Abbey St</v>
          </cell>
          <cell r="J405">
            <v>0</v>
          </cell>
          <cell r="L405">
            <v>116</v>
          </cell>
        </row>
        <row r="406">
          <cell r="A406" t="str">
            <v>Boojum - Abbey St</v>
          </cell>
          <cell r="J406">
            <v>0</v>
          </cell>
          <cell r="L406">
            <v>116</v>
          </cell>
        </row>
        <row r="407">
          <cell r="A407" t="str">
            <v>Boojum - Abbey St</v>
          </cell>
          <cell r="J407">
            <v>0</v>
          </cell>
          <cell r="L407">
            <v>116</v>
          </cell>
        </row>
        <row r="408">
          <cell r="A408" t="str">
            <v>Boojum - Abbey St</v>
          </cell>
          <cell r="J408">
            <v>0</v>
          </cell>
          <cell r="L408">
            <v>116</v>
          </cell>
        </row>
        <row r="409">
          <cell r="A409" t="str">
            <v>Boojum - Abbey St</v>
          </cell>
          <cell r="J409">
            <v>0</v>
          </cell>
          <cell r="L409">
            <v>116</v>
          </cell>
        </row>
        <row r="410">
          <cell r="A410" t="str">
            <v>Boojum - Abbey St</v>
          </cell>
          <cell r="J410">
            <v>0</v>
          </cell>
          <cell r="L410">
            <v>116</v>
          </cell>
        </row>
        <row r="411">
          <cell r="A411" t="str">
            <v>Boojum - Abbey St</v>
          </cell>
          <cell r="J411">
            <v>1</v>
          </cell>
          <cell r="L411">
            <v>116</v>
          </cell>
        </row>
        <row r="412">
          <cell r="A412" t="str">
            <v>Boojum - Abbey St</v>
          </cell>
          <cell r="J412">
            <v>0</v>
          </cell>
          <cell r="L412">
            <v>116</v>
          </cell>
        </row>
        <row r="413">
          <cell r="A413" t="str">
            <v>Boojum - Abbey St</v>
          </cell>
          <cell r="J413">
            <v>0</v>
          </cell>
          <cell r="L413">
            <v>116</v>
          </cell>
        </row>
      </sheetData>
      <sheetData sheetId="17">
        <row r="1">
          <cell r="A1" t="str">
            <v>restaurant_name</v>
          </cell>
          <cell r="I1" t="str">
            <v>rejected_order_rejections</v>
          </cell>
          <cell r="N1" t="str">
            <v>gmv_rejected_local_rejections</v>
          </cell>
        </row>
        <row r="2">
          <cell r="A2" t="str">
            <v>I 💙 Churros - Kevin St</v>
          </cell>
          <cell r="I2">
            <v>1</v>
          </cell>
          <cell r="N2">
            <v>6.75</v>
          </cell>
        </row>
        <row r="3">
          <cell r="A3" t="str">
            <v>I 💙 Churros - Kevin St</v>
          </cell>
          <cell r="I3">
            <v>1</v>
          </cell>
          <cell r="N3">
            <v>6.75</v>
          </cell>
        </row>
        <row r="4">
          <cell r="A4" t="str">
            <v>Boojum - Abbey St</v>
          </cell>
          <cell r="I4">
            <v>1</v>
          </cell>
          <cell r="N4">
            <v>0</v>
          </cell>
        </row>
        <row r="5">
          <cell r="A5" t="str">
            <v>Quesadillas by Boojum (Patrick's Street)</v>
          </cell>
          <cell r="I5">
            <v>1</v>
          </cell>
          <cell r="N5">
            <v>15.35</v>
          </cell>
        </row>
        <row r="6">
          <cell r="A6" t="str">
            <v>Quesadillas by Boojum (Patrick's Street)</v>
          </cell>
          <cell r="I6">
            <v>1</v>
          </cell>
          <cell r="N6">
            <v>24.15</v>
          </cell>
        </row>
        <row r="7">
          <cell r="A7" t="str">
            <v>Quesadillas by Boojum (Patrick's Street)</v>
          </cell>
          <cell r="I7">
            <v>1</v>
          </cell>
          <cell r="N7">
            <v>9.9499999999999993</v>
          </cell>
        </row>
        <row r="8">
          <cell r="A8" t="str">
            <v>Quesadillas by Boojum (Patrick's Street)</v>
          </cell>
          <cell r="I8">
            <v>1</v>
          </cell>
          <cell r="N8">
            <v>16.05</v>
          </cell>
        </row>
        <row r="9">
          <cell r="A9" t="str">
            <v>I 💙 Churros - Limerick</v>
          </cell>
          <cell r="I9">
            <v>1</v>
          </cell>
          <cell r="N9">
            <v>25</v>
          </cell>
        </row>
        <row r="10">
          <cell r="A10" t="str">
            <v>Quesadillas by Boojum (Patrick's Street)</v>
          </cell>
          <cell r="I10">
            <v>1</v>
          </cell>
          <cell r="N10">
            <v>11.95</v>
          </cell>
        </row>
        <row r="11">
          <cell r="A11" t="str">
            <v>I 💙 Churros - Limerick</v>
          </cell>
          <cell r="I11">
            <v>1</v>
          </cell>
          <cell r="N11">
            <v>15</v>
          </cell>
        </row>
        <row r="12">
          <cell r="A12" t="str">
            <v>Quesadillas by Boojum (Hanover Quay)</v>
          </cell>
          <cell r="I12">
            <v>1</v>
          </cell>
          <cell r="N12">
            <v>11.95</v>
          </cell>
        </row>
      </sheetData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J26"/>
  <sheetViews>
    <sheetView tabSelected="1" zoomScale="80" zoomScaleNormal="80" workbookViewId="0">
      <selection activeCell="B3" sqref="B3"/>
    </sheetView>
  </sheetViews>
  <sheetFormatPr defaultRowHeight="14.5" x14ac:dyDescent="0.35"/>
  <cols>
    <col min="2" max="2" width="15.36328125" customWidth="1"/>
    <col min="3" max="10" width="14.08984375" customWidth="1"/>
  </cols>
  <sheetData>
    <row r="1" spans="2:10" ht="24" customHeight="1" thickBot="1" x14ac:dyDescent="0.4">
      <c r="B1" s="59" t="s">
        <v>0</v>
      </c>
      <c r="C1" s="60"/>
      <c r="D1" s="60"/>
      <c r="E1" s="60"/>
      <c r="F1" s="60"/>
      <c r="G1" s="60"/>
      <c r="H1" s="60"/>
      <c r="I1" s="60"/>
      <c r="J1" s="61"/>
    </row>
    <row r="2" spans="2:10" ht="28.5" customHeight="1" thickBot="1" x14ac:dyDescent="0.4">
      <c r="B2" s="1" t="s">
        <v>58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</row>
    <row r="3" spans="2:10" ht="35.25" customHeight="1" thickBot="1" x14ac:dyDescent="0.4">
      <c r="B3" s="3" t="s">
        <v>9</v>
      </c>
      <c r="C3" s="16"/>
      <c r="D3" s="16"/>
      <c r="E3" s="16"/>
      <c r="F3" s="16"/>
      <c r="G3" s="16"/>
      <c r="H3" s="16"/>
      <c r="I3" s="17"/>
      <c r="J3" s="15">
        <f>SUM(C3:I3)</f>
        <v>0</v>
      </c>
    </row>
    <row r="4" spans="2:10" ht="35.25" customHeight="1" thickBot="1" x14ac:dyDescent="0.4">
      <c r="B4" s="3" t="s">
        <v>10</v>
      </c>
      <c r="C4" s="16"/>
      <c r="D4" s="16"/>
      <c r="E4" s="16"/>
      <c r="F4" s="16"/>
      <c r="G4" s="16"/>
      <c r="H4" s="16"/>
      <c r="I4" s="17"/>
      <c r="J4" s="15">
        <f>SUM(C4:I4)</f>
        <v>0</v>
      </c>
    </row>
    <row r="5" spans="2:10" ht="35.25" customHeight="1" thickBot="1" x14ac:dyDescent="0.4">
      <c r="B5" s="22" t="s">
        <v>11</v>
      </c>
      <c r="C5" s="23"/>
      <c r="D5" s="23"/>
      <c r="E5" s="23"/>
      <c r="F5" s="23"/>
      <c r="G5" s="23"/>
      <c r="H5" s="23"/>
      <c r="I5" s="24"/>
      <c r="J5" s="25">
        <f>SUM(C5:I5)</f>
        <v>0</v>
      </c>
    </row>
    <row r="6" spans="2:10" ht="45" customHeight="1" thickBot="1" x14ac:dyDescent="0.4">
      <c r="B6" s="3" t="s">
        <v>12</v>
      </c>
      <c r="C6" s="12"/>
      <c r="D6" s="12"/>
      <c r="E6" s="12"/>
      <c r="F6" s="12"/>
      <c r="G6" s="12"/>
      <c r="H6" s="12"/>
      <c r="I6" s="13"/>
      <c r="J6" s="14">
        <f>SUM(C6:I6)</f>
        <v>0</v>
      </c>
    </row>
    <row r="7" spans="2:10" ht="31.5" customHeight="1" thickBot="1" x14ac:dyDescent="0.4">
      <c r="B7" s="3" t="s">
        <v>13</v>
      </c>
      <c r="C7" s="16">
        <f t="shared" ref="C7:I7" si="0">C6-C3</f>
        <v>0</v>
      </c>
      <c r="D7" s="16">
        <f t="shared" si="0"/>
        <v>0</v>
      </c>
      <c r="E7" s="16">
        <f t="shared" si="0"/>
        <v>0</v>
      </c>
      <c r="F7" s="16">
        <f t="shared" si="0"/>
        <v>0</v>
      </c>
      <c r="G7" s="16">
        <f t="shared" si="0"/>
        <v>0</v>
      </c>
      <c r="H7" s="16">
        <f t="shared" si="0"/>
        <v>0</v>
      </c>
      <c r="I7" s="16">
        <f t="shared" si="0"/>
        <v>0</v>
      </c>
      <c r="J7" s="15">
        <f>SUM(J6-J3)</f>
        <v>0</v>
      </c>
    </row>
    <row r="8" spans="2:10" ht="90.65" customHeight="1" thickBot="1" x14ac:dyDescent="0.4">
      <c r="B8" s="3" t="s">
        <v>14</v>
      </c>
      <c r="C8" s="57"/>
      <c r="D8" s="57"/>
      <c r="E8" s="57"/>
      <c r="F8" s="57"/>
      <c r="G8" s="57"/>
      <c r="H8" s="57"/>
      <c r="I8" s="57"/>
      <c r="J8" s="31"/>
    </row>
    <row r="9" spans="2:10" ht="100.25" customHeight="1" thickBot="1" x14ac:dyDescent="0.4">
      <c r="B9" s="3" t="s">
        <v>15</v>
      </c>
      <c r="C9" s="57"/>
      <c r="D9" s="57"/>
      <c r="E9" s="57"/>
      <c r="F9" s="57"/>
      <c r="G9" s="57"/>
      <c r="H9" s="57"/>
      <c r="I9" s="57"/>
      <c r="J9" s="31"/>
    </row>
    <row r="10" spans="2:10" ht="38.5" customHeight="1" thickBot="1" x14ac:dyDescent="0.4">
      <c r="B10" s="3" t="s">
        <v>16</v>
      </c>
      <c r="C10" s="2"/>
      <c r="D10" s="57"/>
      <c r="E10" s="2"/>
      <c r="F10" s="2"/>
      <c r="G10" s="2"/>
      <c r="H10" s="2"/>
      <c r="I10" s="2"/>
      <c r="J10" s="27"/>
    </row>
    <row r="11" spans="2:10" ht="46.5" customHeight="1" thickBot="1" x14ac:dyDescent="0.4">
      <c r="B11" s="3" t="s">
        <v>17</v>
      </c>
      <c r="C11" s="15"/>
      <c r="D11" s="15"/>
      <c r="E11" s="15"/>
      <c r="F11" s="15"/>
      <c r="G11" s="15"/>
      <c r="H11" s="15"/>
      <c r="I11" s="15"/>
      <c r="J11" s="15">
        <f>SUM(C11:I11)</f>
        <v>0</v>
      </c>
    </row>
    <row r="12" spans="2:10" ht="37.5" customHeight="1" thickBot="1" x14ac:dyDescent="0.4">
      <c r="B12" s="3" t="s">
        <v>18</v>
      </c>
      <c r="C12" s="12"/>
      <c r="D12" s="12"/>
      <c r="E12" s="12"/>
      <c r="F12" s="12"/>
      <c r="G12" s="12"/>
      <c r="H12" s="12"/>
      <c r="I12" s="13"/>
      <c r="J12" s="14">
        <f>SUM(C12:I12)</f>
        <v>0</v>
      </c>
    </row>
    <row r="13" spans="2:10" ht="37.5" customHeight="1" thickBot="1" x14ac:dyDescent="0.4">
      <c r="B13" s="3" t="s">
        <v>13</v>
      </c>
      <c r="C13" s="15">
        <f t="shared" ref="C13:J13" si="1">C12-C11</f>
        <v>0</v>
      </c>
      <c r="D13" s="15">
        <f t="shared" si="1"/>
        <v>0</v>
      </c>
      <c r="E13" s="15">
        <f t="shared" si="1"/>
        <v>0</v>
      </c>
      <c r="F13" s="15">
        <f t="shared" si="1"/>
        <v>0</v>
      </c>
      <c r="G13" s="15">
        <f t="shared" si="1"/>
        <v>0</v>
      </c>
      <c r="H13" s="15">
        <f t="shared" si="1"/>
        <v>0</v>
      </c>
      <c r="I13" s="15">
        <f t="shared" si="1"/>
        <v>0</v>
      </c>
      <c r="J13" s="15">
        <f t="shared" si="1"/>
        <v>0</v>
      </c>
    </row>
    <row r="14" spans="2:10" ht="99" customHeight="1" thickBot="1" x14ac:dyDescent="0.4">
      <c r="B14" s="4" t="s">
        <v>19</v>
      </c>
      <c r="C14" s="5"/>
      <c r="D14" s="5"/>
      <c r="E14" s="5"/>
      <c r="F14" s="5"/>
      <c r="G14" s="5"/>
      <c r="H14" s="5"/>
      <c r="I14" s="5"/>
      <c r="J14" s="28" t="s">
        <v>20</v>
      </c>
    </row>
    <row r="15" spans="2:10" ht="39" hidden="1" customHeight="1" thickBot="1" x14ac:dyDescent="0.4">
      <c r="B15" s="4" t="s">
        <v>21</v>
      </c>
      <c r="C15" s="9"/>
      <c r="D15" s="9"/>
      <c r="E15" s="9"/>
      <c r="F15" s="9"/>
      <c r="G15" s="10"/>
      <c r="H15" s="9"/>
      <c r="I15" s="9"/>
      <c r="J15" s="11">
        <f t="shared" ref="J15:J24" si="2">SUM(C15:I15)</f>
        <v>0</v>
      </c>
    </row>
    <row r="16" spans="2:10" ht="39" customHeight="1" thickBot="1" x14ac:dyDescent="0.4">
      <c r="B16" s="3" t="s">
        <v>22</v>
      </c>
      <c r="C16" s="16" t="s">
        <v>23</v>
      </c>
      <c r="D16" s="16" t="s">
        <v>23</v>
      </c>
      <c r="E16" s="16" t="s">
        <v>23</v>
      </c>
      <c r="F16" s="16" t="s">
        <v>23</v>
      </c>
      <c r="G16" s="16" t="s">
        <v>23</v>
      </c>
      <c r="H16" s="16" t="s">
        <v>23</v>
      </c>
      <c r="I16" s="16" t="s">
        <v>23</v>
      </c>
      <c r="J16" s="11">
        <f t="shared" si="2"/>
        <v>0</v>
      </c>
    </row>
    <row r="17" spans="2:10" ht="39" customHeight="1" thickBot="1" x14ac:dyDescent="0.4">
      <c r="B17" s="3" t="s">
        <v>24</v>
      </c>
      <c r="C17" s="12"/>
      <c r="D17" s="12"/>
      <c r="E17" s="12"/>
      <c r="F17" s="12"/>
      <c r="G17" s="12"/>
      <c r="H17" s="12"/>
      <c r="I17" s="13"/>
      <c r="J17" s="14">
        <f t="shared" si="2"/>
        <v>0</v>
      </c>
    </row>
    <row r="18" spans="2:10" ht="39" customHeight="1" thickBot="1" x14ac:dyDescent="0.4">
      <c r="B18" s="3" t="s">
        <v>25</v>
      </c>
      <c r="C18" s="12"/>
      <c r="D18" s="12"/>
      <c r="E18" s="12"/>
      <c r="F18" s="12"/>
      <c r="G18" s="12"/>
      <c r="H18" s="12"/>
      <c r="I18" s="13"/>
      <c r="J18" s="14">
        <f t="shared" si="2"/>
        <v>0</v>
      </c>
    </row>
    <row r="19" spans="2:10" ht="39" customHeight="1" thickBot="1" x14ac:dyDescent="0.4">
      <c r="B19" s="3" t="s">
        <v>26</v>
      </c>
      <c r="C19" s="29"/>
      <c r="D19" s="29"/>
      <c r="E19" s="29"/>
      <c r="F19" s="29"/>
      <c r="G19" s="29"/>
      <c r="H19" s="29"/>
      <c r="I19" s="30"/>
      <c r="J19" s="26">
        <f t="shared" si="2"/>
        <v>0</v>
      </c>
    </row>
    <row r="20" spans="2:10" ht="39" hidden="1" customHeight="1" thickBot="1" x14ac:dyDescent="0.4">
      <c r="B20" s="8" t="s">
        <v>27</v>
      </c>
      <c r="C20" s="18"/>
      <c r="D20" s="18"/>
      <c r="E20" s="18"/>
      <c r="F20" s="18"/>
      <c r="G20" s="18"/>
      <c r="H20" s="18"/>
      <c r="I20" s="19"/>
      <c r="J20" s="20">
        <f t="shared" si="2"/>
        <v>0</v>
      </c>
    </row>
    <row r="21" spans="2:10" ht="39" hidden="1" customHeight="1" thickBot="1" x14ac:dyDescent="0.4">
      <c r="B21" s="8" t="s">
        <v>28</v>
      </c>
      <c r="C21" s="18"/>
      <c r="D21" s="18"/>
      <c r="E21" s="18"/>
      <c r="F21" s="18"/>
      <c r="G21" s="18"/>
      <c r="H21" s="18"/>
      <c r="I21" s="19"/>
      <c r="J21" s="20">
        <f t="shared" si="2"/>
        <v>0</v>
      </c>
    </row>
    <row r="22" spans="2:10" ht="39" hidden="1" customHeight="1" thickBot="1" x14ac:dyDescent="0.4">
      <c r="B22" s="8" t="s">
        <v>29</v>
      </c>
      <c r="C22" s="18"/>
      <c r="D22" s="18"/>
      <c r="E22" s="18"/>
      <c r="F22" s="18"/>
      <c r="G22" s="18"/>
      <c r="H22" s="18"/>
      <c r="I22" s="19"/>
      <c r="J22" s="20">
        <f t="shared" si="2"/>
        <v>0</v>
      </c>
    </row>
    <row r="23" spans="2:10" ht="39" hidden="1" customHeight="1" thickBot="1" x14ac:dyDescent="0.4">
      <c r="B23" s="21" t="s">
        <v>30</v>
      </c>
      <c r="C23" s="18"/>
      <c r="D23" s="18"/>
      <c r="E23" s="18"/>
      <c r="F23" s="18"/>
      <c r="G23" s="18"/>
      <c r="H23" s="18"/>
      <c r="I23" s="19"/>
      <c r="J23" s="20">
        <f t="shared" si="2"/>
        <v>0</v>
      </c>
    </row>
    <row r="24" spans="2:10" ht="39" customHeight="1" thickBot="1" x14ac:dyDescent="0.4">
      <c r="B24" s="52" t="s">
        <v>31</v>
      </c>
      <c r="C24" s="53"/>
      <c r="D24" s="53"/>
      <c r="E24" s="53"/>
      <c r="F24" s="53"/>
      <c r="G24" s="53"/>
      <c r="H24" s="53"/>
      <c r="I24" s="51"/>
      <c r="J24" s="54">
        <f t="shared" si="2"/>
        <v>0</v>
      </c>
    </row>
    <row r="25" spans="2:10" ht="39" customHeight="1" thickBot="1" x14ac:dyDescent="0.4">
      <c r="B25" s="4" t="s">
        <v>32</v>
      </c>
      <c r="C25" s="55" t="s">
        <v>33</v>
      </c>
      <c r="D25" s="55" t="s">
        <v>33</v>
      </c>
      <c r="E25" s="55" t="s">
        <v>33</v>
      </c>
      <c r="F25" s="55" t="s">
        <v>33</v>
      </c>
      <c r="G25" s="55" t="s">
        <v>33</v>
      </c>
      <c r="H25" s="55" t="s">
        <v>33</v>
      </c>
      <c r="I25" s="55" t="s">
        <v>33</v>
      </c>
      <c r="J25" s="56"/>
    </row>
    <row r="26" spans="2:10" ht="60" customHeight="1" thickBot="1" x14ac:dyDescent="0.4">
      <c r="B26" s="4" t="s">
        <v>34</v>
      </c>
      <c r="C26" s="55" t="s">
        <v>35</v>
      </c>
      <c r="D26" s="55" t="s">
        <v>35</v>
      </c>
      <c r="E26" s="55" t="s">
        <v>35</v>
      </c>
      <c r="F26" s="55" t="s">
        <v>35</v>
      </c>
      <c r="G26" s="55" t="s">
        <v>35</v>
      </c>
      <c r="H26" s="55" t="s">
        <v>35</v>
      </c>
      <c r="I26" s="55" t="s">
        <v>35</v>
      </c>
      <c r="J26" s="56"/>
    </row>
  </sheetData>
  <mergeCells count="1">
    <mergeCell ref="B1:J1"/>
  </mergeCells>
  <pageMargins left="0.7" right="0.7" top="0.75" bottom="0.75" header="0.3" footer="0.3"/>
  <pageSetup paperSize="12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B1:K15"/>
  <sheetViews>
    <sheetView zoomScale="80" zoomScaleNormal="80" workbookViewId="0">
      <selection activeCell="D3" sqref="D3"/>
    </sheetView>
  </sheetViews>
  <sheetFormatPr defaultColWidth="8.90625" defaultRowHeight="15.5" x14ac:dyDescent="0.35"/>
  <cols>
    <col min="1" max="1" width="4.08984375" style="32" customWidth="1"/>
    <col min="2" max="2" width="22.90625" style="32" customWidth="1"/>
    <col min="3" max="3" width="16.36328125" style="32" customWidth="1"/>
    <col min="4" max="10" width="23.36328125" style="32" customWidth="1"/>
    <col min="11" max="11" width="8.90625" style="32" customWidth="1"/>
    <col min="12" max="16384" width="8.90625" style="32"/>
  </cols>
  <sheetData>
    <row r="1" spans="2:11" ht="16" customHeight="1" thickBot="1" x14ac:dyDescent="0.4"/>
    <row r="2" spans="2:11" ht="28" customHeight="1" thickBot="1" x14ac:dyDescent="0.4">
      <c r="B2" s="65" t="s">
        <v>36</v>
      </c>
      <c r="C2" s="63"/>
      <c r="D2" s="69" t="s">
        <v>37</v>
      </c>
      <c r="E2" s="60"/>
      <c r="F2" s="60"/>
      <c r="G2" s="60"/>
      <c r="H2" s="60"/>
      <c r="I2" s="60"/>
      <c r="J2" s="61"/>
    </row>
    <row r="3" spans="2:11" ht="18.5" customHeight="1" x14ac:dyDescent="0.35">
      <c r="B3" s="45" t="s">
        <v>38</v>
      </c>
      <c r="C3" s="44"/>
      <c r="D3" s="43" t="s">
        <v>39</v>
      </c>
      <c r="E3" s="42" t="s">
        <v>40</v>
      </c>
      <c r="F3" s="42" t="s">
        <v>41</v>
      </c>
      <c r="G3" s="42" t="s">
        <v>42</v>
      </c>
      <c r="H3" s="42" t="s">
        <v>43</v>
      </c>
      <c r="I3" s="42" t="s">
        <v>44</v>
      </c>
      <c r="J3" s="41" t="s">
        <v>45</v>
      </c>
    </row>
    <row r="4" spans="2:11" ht="19" customHeight="1" thickBot="1" x14ac:dyDescent="0.4">
      <c r="B4" s="40" t="s">
        <v>46</v>
      </c>
      <c r="C4" s="39"/>
      <c r="D4" s="38"/>
      <c r="E4" s="38"/>
      <c r="F4" s="38"/>
      <c r="G4" s="38"/>
      <c r="H4" s="38"/>
      <c r="I4" s="38"/>
      <c r="J4" s="38"/>
    </row>
    <row r="5" spans="2:11" ht="71" customHeight="1" thickBot="1" x14ac:dyDescent="0.4">
      <c r="B5" s="64" t="s">
        <v>47</v>
      </c>
      <c r="C5" s="63"/>
      <c r="D5" s="46"/>
      <c r="E5" s="46"/>
      <c r="F5" s="46"/>
      <c r="G5" s="47"/>
      <c r="H5" s="47"/>
      <c r="I5" s="47"/>
      <c r="J5" s="48"/>
    </row>
    <row r="6" spans="2:11" ht="71" customHeight="1" thickBot="1" x14ac:dyDescent="0.4">
      <c r="B6" s="64" t="s">
        <v>48</v>
      </c>
      <c r="C6" s="63"/>
      <c r="D6" s="46"/>
      <c r="E6" s="47"/>
      <c r="F6" s="46"/>
      <c r="G6" s="48"/>
      <c r="H6" s="48"/>
      <c r="I6" s="47"/>
      <c r="J6" s="47"/>
    </row>
    <row r="7" spans="2:11" ht="71" customHeight="1" thickBot="1" x14ac:dyDescent="0.4">
      <c r="B7" s="64" t="s">
        <v>49</v>
      </c>
      <c r="C7" s="63"/>
      <c r="D7" s="46"/>
      <c r="E7" s="47"/>
      <c r="F7" s="46"/>
      <c r="G7" s="48"/>
      <c r="H7" s="48"/>
      <c r="I7" s="48"/>
      <c r="J7" s="48"/>
    </row>
    <row r="8" spans="2:11" ht="37.5" customHeight="1" thickBot="1" x14ac:dyDescent="0.4">
      <c r="B8" s="62" t="s">
        <v>50</v>
      </c>
      <c r="C8" s="63"/>
      <c r="D8" s="58"/>
      <c r="E8" s="58"/>
      <c r="F8" s="58"/>
      <c r="G8" s="58"/>
      <c r="H8" s="58"/>
      <c r="I8" s="58"/>
      <c r="J8" s="58"/>
      <c r="K8" s="35">
        <f>SUM(D8:J8)</f>
        <v>0</v>
      </c>
    </row>
    <row r="9" spans="2:11" ht="37.5" customHeight="1" thickBot="1" x14ac:dyDescent="0.4">
      <c r="B9" s="70" t="s">
        <v>51</v>
      </c>
      <c r="C9" s="61"/>
      <c r="D9" s="36"/>
      <c r="E9" s="37"/>
      <c r="F9" s="36"/>
      <c r="G9" s="37"/>
      <c r="H9" s="37"/>
      <c r="I9" s="36"/>
      <c r="J9" s="36"/>
      <c r="K9" s="35"/>
    </row>
    <row r="10" spans="2:11" ht="32.5" customHeight="1" thickBot="1" x14ac:dyDescent="0.4">
      <c r="B10" s="66" t="s">
        <v>52</v>
      </c>
      <c r="C10" s="67"/>
      <c r="D10" s="34"/>
      <c r="E10" s="34"/>
      <c r="F10" s="34"/>
      <c r="G10" s="34"/>
      <c r="H10" s="34"/>
      <c r="I10" s="34"/>
      <c r="J10" s="34"/>
      <c r="K10" s="33">
        <f>SUM(D10:J10)</f>
        <v>0</v>
      </c>
    </row>
    <row r="11" spans="2:11" ht="87" customHeight="1" thickBot="1" x14ac:dyDescent="0.4">
      <c r="B11" s="62" t="s">
        <v>53</v>
      </c>
      <c r="C11" s="63"/>
      <c r="D11" s="47"/>
      <c r="E11" s="47"/>
      <c r="F11" s="47"/>
      <c r="G11" s="47"/>
      <c r="H11" s="47"/>
      <c r="I11" s="49"/>
      <c r="J11" s="47"/>
    </row>
    <row r="12" spans="2:11" ht="25.5" customHeight="1" thickBot="1" x14ac:dyDescent="0.4">
      <c r="B12" s="62" t="s">
        <v>54</v>
      </c>
      <c r="C12" s="63"/>
      <c r="D12" s="47"/>
      <c r="E12" s="47"/>
      <c r="F12" s="47"/>
      <c r="G12" s="47"/>
      <c r="H12" s="47"/>
      <c r="I12" s="47"/>
      <c r="J12" s="47"/>
    </row>
    <row r="13" spans="2:11" ht="114" customHeight="1" thickBot="1" x14ac:dyDescent="0.4">
      <c r="B13" s="62" t="s">
        <v>55</v>
      </c>
      <c r="C13" s="63"/>
      <c r="D13" s="47"/>
      <c r="E13" s="47"/>
      <c r="F13" s="47"/>
      <c r="G13" s="47"/>
      <c r="H13" s="47"/>
      <c r="I13" s="47"/>
      <c r="J13" s="47"/>
    </row>
    <row r="14" spans="2:11" ht="113" customHeight="1" thickBot="1" x14ac:dyDescent="0.4">
      <c r="B14" s="68" t="s">
        <v>56</v>
      </c>
      <c r="C14" s="63"/>
      <c r="D14" s="47"/>
      <c r="E14" s="47"/>
      <c r="F14" s="47"/>
      <c r="G14" s="47"/>
      <c r="H14" s="47"/>
      <c r="I14" s="47"/>
      <c r="J14" s="47"/>
    </row>
    <row r="15" spans="2:11" ht="72.5" customHeight="1" thickBot="1" x14ac:dyDescent="0.4">
      <c r="B15" s="62" t="s">
        <v>57</v>
      </c>
      <c r="C15" s="63"/>
      <c r="D15" s="50"/>
      <c r="E15" s="50"/>
      <c r="F15" s="50"/>
      <c r="G15" s="50"/>
      <c r="H15" s="50"/>
      <c r="I15" s="50"/>
      <c r="J15" s="50"/>
    </row>
  </sheetData>
  <mergeCells count="13">
    <mergeCell ref="D2:J2"/>
    <mergeCell ref="B9:C9"/>
    <mergeCell ref="B8:C8"/>
    <mergeCell ref="B12:C12"/>
    <mergeCell ref="B13:C13"/>
    <mergeCell ref="B6:C6"/>
    <mergeCell ref="B2:C2"/>
    <mergeCell ref="B15:C15"/>
    <mergeCell ref="B7:C7"/>
    <mergeCell ref="B11:C11"/>
    <mergeCell ref="B5:C5"/>
    <mergeCell ref="B10:C10"/>
    <mergeCell ref="B14:C14"/>
  </mergeCells>
  <pageMargins left="0.7" right="0.7" top="0.75" bottom="0.75" header="0.3" footer="0.3"/>
  <pageSetup paperSize="9" scale="6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EON</vt:lpstr>
      <vt:lpstr>REFUND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hanov</dc:creator>
  <cp:lastModifiedBy>Helena Garcia</cp:lastModifiedBy>
  <dcterms:created xsi:type="dcterms:W3CDTF">2018-07-13T17:00:58Z</dcterms:created>
  <dcterms:modified xsi:type="dcterms:W3CDTF">2026-03-19T18:16:41Z</dcterms:modified>
</cp:coreProperties>
</file>